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NavashanmugamAsokan\Desktop\Projects\Engagement Scoping Tool\"/>
    </mc:Choice>
  </mc:AlternateContent>
  <xr:revisionPtr revIDLastSave="0" documentId="8_{7BF8E667-47FF-4B51-B168-B4B7C179523F}" xr6:coauthVersionLast="47" xr6:coauthVersionMax="47" xr10:uidLastSave="{00000000-0000-0000-0000-000000000000}"/>
  <bookViews>
    <workbookView xWindow="-110" yWindow="-110" windowWidth="19420" windowHeight="10300" tabRatio="832" xr2:uid="{AA176829-270E-447A-BC90-ED156939CE6E}"/>
  </bookViews>
  <sheets>
    <sheet name="Scope Definition" sheetId="4" r:id="rId1"/>
    <sheet name="Scope of Service" sheetId="11" r:id="rId2"/>
    <sheet name="Timings" sheetId="21" r:id="rId3"/>
    <sheet name="KDD Items" sheetId="12" r:id="rId4"/>
    <sheet name="App Tiers Definition" sheetId="10" r:id="rId5"/>
    <sheet name="Effort Estimation" sheetId="20" r:id="rId6"/>
    <sheet name="Sheet1" sheetId="22" state="hidden" r:id="rId7"/>
    <sheet name="Definitions" sheetId="5" state="hidden" r:id="rId8"/>
  </sheets>
  <definedNames>
    <definedName name="AppCustomization">'Effort Estimation'!$C$70</definedName>
    <definedName name="AppFeatures">'Effort Estimation'!$C$53</definedName>
    <definedName name="Automations">'Effort Estimation'!$C$106</definedName>
    <definedName name="Build_and_Configure">'Effort Estimation'!$C$35</definedName>
    <definedName name="Calculations">'Effort Estimation'!$C$74</definedName>
    <definedName name="Change_Management">'Effort Estimation'!$C$128</definedName>
    <definedName name="Design">'Effort Estimation'!$C$28</definedName>
    <definedName name="Documentations">'Effort Estimation'!$C$123</definedName>
    <definedName name="DynamicList" localSheetId="5">IF('Scope Definition'!$C$7="YES", [0]!Yes_List, [0]!No_List)</definedName>
    <definedName name="DynamicList">IF('Scope Definition'!$C$7="YES", Yes_List, No_List)</definedName>
    <definedName name="EngagementWeightage">'Scope Definition'!$E$103</definedName>
    <definedName name="FeatureCleanRange">'Scope Definition'!$G$6:$G$102</definedName>
    <definedName name="FTEEfforts">'App Tiers Definition'!$H$5:$V$22</definedName>
    <definedName name="HistData">'Effort Estimation'!$C$84</definedName>
    <definedName name="InScopeFlagRange">'Scope Definition'!$H$6:$H$102</definedName>
    <definedName name="Integrations">'Effort Estimation'!$C$90</definedName>
    <definedName name="KDD_Items">Definitions!$D$134:$D$149</definedName>
    <definedName name="KDD_Items_All">Definitions!$B$134:$B$149</definedName>
    <definedName name="No_List">'Scope Definition'!$Z$5</definedName>
    <definedName name="Project_Initiation_and_Planning">'Effort Estimation'!$C$5</definedName>
    <definedName name="Reporting">'Effort Estimation'!$C$97</definedName>
    <definedName name="Requirement_Gathering">'Effort Estimation'!$C$18</definedName>
    <definedName name="RoleData">'Scope Definition'!$K$14:$L$26</definedName>
    <definedName name="RoleTable">'Scope Definition'!$K$14:$L$26</definedName>
    <definedName name="Scope_of_Services">Definitions!$B$3:$B$62</definedName>
    <definedName name="Security">'Effort Estimation'!$C$80</definedName>
    <definedName name="Testing_Training">'Effort Estimation'!$C$112</definedName>
    <definedName name="TierTable">'App Tiers Definition'!$D$6:$F$10</definedName>
    <definedName name="Timings">Definitions!$B$166:$O$191</definedName>
    <definedName name="TotalDuration">'Effort Estimation'!$H$132</definedName>
    <definedName name="Transition">'Effort Estimation'!$C$119</definedName>
    <definedName name="Weightage">'Scope Definition'!$E$103</definedName>
    <definedName name="Yes_List">'Scope Definition'!$Y$5:$Y$9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5" i="5" l="1" a="1"/>
  <c r="C185" i="5" s="1"/>
  <c r="C184" i="5" a="1"/>
  <c r="C184" i="5" s="1"/>
  <c r="C183" i="5" a="1"/>
  <c r="C183" i="5" s="1"/>
  <c r="C182" i="5" a="1"/>
  <c r="C182" i="5" s="1"/>
  <c r="C181" i="5" a="1"/>
  <c r="C181" i="5" s="1"/>
  <c r="C186" i="5" a="1"/>
  <c r="C186" i="5" s="1"/>
  <c r="C187" i="5" a="1"/>
  <c r="C187" i="5" s="1"/>
  <c r="C188" i="5" a="1"/>
  <c r="C188" i="5" s="1"/>
  <c r="C189" i="5" a="1"/>
  <c r="C189" i="5" s="1"/>
  <c r="C180" i="5" a="1"/>
  <c r="C180" i="5" s="1"/>
  <c r="C179" i="5" a="1"/>
  <c r="C179" i="5" s="1"/>
  <c r="C178" i="5" a="1"/>
  <c r="C178" i="5" s="1"/>
  <c r="C177" i="5" a="1"/>
  <c r="C177" i="5" s="1"/>
  <c r="Q24" i="10"/>
  <c r="F87" i="20" l="1"/>
  <c r="F35" i="20"/>
  <c r="D16" i="20"/>
  <c r="E16" i="20" s="1"/>
  <c r="F16" i="20" s="1"/>
  <c r="C35" i="20"/>
  <c r="D44" i="20"/>
  <c r="E103" i="4"/>
  <c r="E11" i="4"/>
  <c r="H12" i="4"/>
  <c r="G12" i="4"/>
  <c r="E26" i="4"/>
  <c r="E23" i="4"/>
  <c r="E21" i="4"/>
  <c r="C119" i="20" l="1"/>
  <c r="H88" i="4"/>
  <c r="H89" i="4"/>
  <c r="H90" i="4"/>
  <c r="E89" i="4"/>
  <c r="E90" i="4"/>
  <c r="G88" i="4"/>
  <c r="G89" i="4"/>
  <c r="G90" i="4"/>
  <c r="F116" i="20"/>
  <c r="B31" i="5" l="1"/>
  <c r="B29" i="5"/>
  <c r="B28" i="5"/>
  <c r="B46" i="5"/>
  <c r="B45" i="5"/>
  <c r="B44" i="5"/>
  <c r="B43" i="5"/>
  <c r="B40" i="5"/>
  <c r="B38" i="5"/>
  <c r="B35" i="5"/>
  <c r="B34" i="5"/>
  <c r="B33" i="5"/>
  <c r="B32" i="5"/>
  <c r="B30" i="5"/>
  <c r="B168" i="5" l="1"/>
  <c r="B170" i="5"/>
  <c r="E87" i="20"/>
  <c r="H44" i="4"/>
  <c r="G44" i="4"/>
  <c r="G45" i="4"/>
  <c r="G46" i="4"/>
  <c r="G47" i="4"/>
  <c r="E44" i="4" a="1"/>
  <c r="E44" i="4" s="1"/>
  <c r="E41" i="4" a="1"/>
  <c r="E41" i="4" s="1"/>
  <c r="E40" i="4" a="1"/>
  <c r="E40" i="4" s="1"/>
  <c r="E35" i="4"/>
  <c r="E16" i="4"/>
  <c r="E10" i="4"/>
  <c r="E6" i="4"/>
  <c r="C128" i="20"/>
  <c r="C123" i="20"/>
  <c r="C112" i="20"/>
  <c r="C106" i="20"/>
  <c r="C97" i="20"/>
  <c r="C90" i="20"/>
  <c r="C84" i="20"/>
  <c r="C80" i="20"/>
  <c r="C74" i="20"/>
  <c r="C70" i="20"/>
  <c r="C53" i="20"/>
  <c r="H10" i="4"/>
  <c r="C28" i="20"/>
  <c r="C18" i="20"/>
  <c r="C14" i="20"/>
  <c r="F14" i="20" s="1"/>
  <c r="G14" i="20" s="1"/>
  <c r="C5" i="20"/>
  <c r="H14" i="20" l="1"/>
  <c r="I7" i="10"/>
  <c r="B27" i="5"/>
  <c r="E51" i="4" a="1"/>
  <c r="E51" i="4" s="1"/>
  <c r="E50" i="4" a="1"/>
  <c r="E50" i="4" s="1"/>
  <c r="E54" i="4" a="1"/>
  <c r="E54" i="4" s="1"/>
  <c r="E47" i="4"/>
  <c r="E46" i="4"/>
  <c r="E45" i="4" a="1"/>
  <c r="E45" i="4" s="1"/>
  <c r="E9" i="4" l="1"/>
  <c r="H7" i="4"/>
  <c r="H8" i="4"/>
  <c r="H9" i="4"/>
  <c r="H11"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1" i="4"/>
  <c r="H82" i="4"/>
  <c r="H83" i="4"/>
  <c r="H84" i="4"/>
  <c r="H85" i="4"/>
  <c r="H86" i="4"/>
  <c r="H92" i="4"/>
  <c r="H93" i="4"/>
  <c r="H94" i="4"/>
  <c r="H95" i="4"/>
  <c r="H97" i="4"/>
  <c r="H98" i="4"/>
  <c r="H99" i="4"/>
  <c r="H101" i="4"/>
  <c r="H102" i="4"/>
  <c r="G7" i="4"/>
  <c r="G8" i="4"/>
  <c r="G9" i="4"/>
  <c r="G10" i="4"/>
  <c r="G11"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1" i="4"/>
  <c r="G82" i="4"/>
  <c r="G83" i="4"/>
  <c r="G84" i="4"/>
  <c r="G85" i="4"/>
  <c r="G86" i="4"/>
  <c r="G92" i="4"/>
  <c r="G93" i="4"/>
  <c r="G94" i="4"/>
  <c r="G95" i="4"/>
  <c r="G96" i="4"/>
  <c r="G97" i="4"/>
  <c r="G98" i="4"/>
  <c r="G99" i="4"/>
  <c r="G100" i="4"/>
  <c r="G101" i="4"/>
  <c r="G102" i="4"/>
  <c r="H6" i="4"/>
  <c r="G6" i="4"/>
  <c r="D120" i="20" l="1"/>
  <c r="D121" i="20"/>
  <c r="D39" i="20"/>
  <c r="D38" i="20"/>
  <c r="D75" i="20"/>
  <c r="E75" i="20" s="1"/>
  <c r="F75" i="20" s="1"/>
  <c r="D71" i="20"/>
  <c r="E71" i="20" s="1"/>
  <c r="F71" i="20" s="1"/>
  <c r="D82" i="20"/>
  <c r="E82" i="20" s="1"/>
  <c r="F82" i="20" s="1"/>
  <c r="D63" i="20"/>
  <c r="D92" i="20"/>
  <c r="E92" i="20" s="1"/>
  <c r="F92" i="20" s="1"/>
  <c r="D51" i="20"/>
  <c r="E51" i="20" s="1"/>
  <c r="F51" i="20" s="1"/>
  <c r="D91" i="20"/>
  <c r="E91" i="20" s="1"/>
  <c r="F91" i="20" s="1"/>
  <c r="D109" i="20"/>
  <c r="D88" i="20"/>
  <c r="E88" i="20" s="1"/>
  <c r="F88" i="20" s="1"/>
  <c r="D66" i="20"/>
  <c r="D48" i="20"/>
  <c r="D129" i="20"/>
  <c r="D107" i="20"/>
  <c r="D62" i="20"/>
  <c r="D104" i="20"/>
  <c r="E104" i="20" s="1"/>
  <c r="F104" i="20" s="1"/>
  <c r="D43" i="20"/>
  <c r="D99" i="20"/>
  <c r="E99" i="20" s="1"/>
  <c r="F99" i="20" s="1"/>
  <c r="D115" i="20"/>
  <c r="D95" i="20"/>
  <c r="E95" i="20" s="1"/>
  <c r="F95" i="20" s="1"/>
  <c r="D54" i="20"/>
  <c r="D113" i="20"/>
  <c r="D94" i="20"/>
  <c r="E94" i="20" s="1"/>
  <c r="F94" i="20" s="1"/>
  <c r="D130" i="20"/>
  <c r="D108" i="20"/>
  <c r="D85" i="20"/>
  <c r="E85" i="20" s="1"/>
  <c r="F85" i="20" s="1"/>
  <c r="D65" i="20"/>
  <c r="D47" i="20"/>
  <c r="E47" i="20" s="1"/>
  <c r="F47" i="20" s="1"/>
  <c r="D81" i="20"/>
  <c r="E81" i="20" s="1"/>
  <c r="F81" i="20" s="1"/>
  <c r="D55" i="20"/>
  <c r="D50" i="20"/>
  <c r="E50" i="20" s="1"/>
  <c r="F50" i="20" s="1"/>
  <c r="D93" i="20"/>
  <c r="E93" i="20" s="1"/>
  <c r="F93" i="20" s="1"/>
  <c r="D126" i="20"/>
  <c r="D61" i="20"/>
  <c r="E61" i="20" s="1"/>
  <c r="F61" i="20" s="1"/>
  <c r="D57" i="20"/>
  <c r="D98" i="20"/>
  <c r="E98" i="20" s="1"/>
  <c r="F98" i="20" s="1"/>
  <c r="D68" i="20"/>
  <c r="D49" i="20"/>
  <c r="E49" i="20" s="1"/>
  <c r="F49" i="20" s="1"/>
  <c r="D125" i="20"/>
  <c r="D103" i="20"/>
  <c r="E103" i="20" s="1"/>
  <c r="F103" i="20" s="1"/>
  <c r="D77" i="20"/>
  <c r="D60" i="20"/>
  <c r="D124" i="20"/>
  <c r="D101" i="20"/>
  <c r="E101" i="20" s="1"/>
  <c r="F101" i="20" s="1"/>
  <c r="D59" i="20"/>
  <c r="D41" i="20"/>
  <c r="E41" i="20" s="1"/>
  <c r="F41" i="20" s="1"/>
  <c r="D117" i="20"/>
  <c r="D100" i="20"/>
  <c r="E100" i="20" s="1"/>
  <c r="F100" i="20" s="1"/>
  <c r="D72" i="20"/>
  <c r="E72" i="20" s="1"/>
  <c r="F72" i="20" s="1"/>
  <c r="D58" i="20"/>
  <c r="D40" i="20"/>
  <c r="E40" i="20" s="1"/>
  <c r="F40" i="20" s="1"/>
  <c r="D116" i="20"/>
  <c r="D37" i="20"/>
  <c r="D114" i="20"/>
  <c r="D110" i="20"/>
  <c r="D67" i="20"/>
  <c r="D102" i="20"/>
  <c r="E102" i="20" s="1"/>
  <c r="F102" i="20" s="1"/>
  <c r="D56" i="20"/>
  <c r="E56" i="20" s="1"/>
  <c r="F56" i="20" s="1"/>
  <c r="D45" i="20"/>
  <c r="E45" i="20" s="1"/>
  <c r="F45" i="20" s="1"/>
  <c r="D78" i="20"/>
  <c r="E78" i="20" s="1"/>
  <c r="F78" i="20" s="1"/>
  <c r="D87" i="20"/>
  <c r="D86" i="20"/>
  <c r="E86" i="20" s="1"/>
  <c r="F86" i="20" s="1"/>
  <c r="D76" i="20"/>
  <c r="E76" i="20" s="1"/>
  <c r="F76" i="20" s="1"/>
  <c r="D64" i="20"/>
  <c r="E57" i="4"/>
  <c r="E38" i="20" l="1"/>
  <c r="F38" i="20" s="1"/>
  <c r="G35" i="20" s="1"/>
  <c r="E37" i="4"/>
  <c r="D149" i="5" s="1"/>
  <c r="B19" i="5" l="1"/>
  <c r="B17" i="5"/>
  <c r="B15" i="5"/>
  <c r="B26" i="5" l="1"/>
  <c r="D138" i="5"/>
  <c r="B25" i="5"/>
  <c r="B22" i="5"/>
  <c r="B21" i="5"/>
  <c r="B18" i="5"/>
  <c r="B16" i="5"/>
  <c r="E85" i="4"/>
  <c r="E73" i="4"/>
  <c r="E94" i="4" l="1"/>
  <c r="E95" i="4"/>
  <c r="E98" i="4"/>
  <c r="E99" i="4"/>
  <c r="E86" i="4"/>
  <c r="E84" i="4"/>
  <c r="E83" i="4"/>
  <c r="E72" i="4"/>
  <c r="E71" i="4"/>
  <c r="E69" i="4"/>
  <c r="E68" i="4"/>
  <c r="E70" i="4"/>
  <c r="E67" i="4"/>
  <c r="E64" i="4"/>
  <c r="E63" i="4"/>
  <c r="E62" i="4"/>
  <c r="E61" i="4"/>
  <c r="E60" i="4"/>
  <c r="E55" i="4"/>
  <c r="E56" i="4"/>
  <c r="D140" i="5"/>
  <c r="E14" i="4"/>
  <c r="F53" i="4" l="1"/>
  <c r="F49" i="4"/>
  <c r="F59" i="4"/>
  <c r="D141" i="5" s="1"/>
  <c r="E36" i="4"/>
  <c r="D145" i="5" s="1"/>
  <c r="E34" i="4"/>
  <c r="D144" i="5" s="1"/>
  <c r="E33" i="4"/>
  <c r="D147" i="5" s="1"/>
  <c r="E32" i="4"/>
  <c r="D146" i="5" s="1"/>
  <c r="E31" i="4"/>
  <c r="E79" i="4"/>
  <c r="E77" i="4"/>
  <c r="E76" i="4"/>
  <c r="E78" i="4"/>
  <c r="E93" i="4"/>
  <c r="E82" i="4"/>
  <c r="E15" i="4"/>
  <c r="E18" i="4"/>
  <c r="F119" i="20" l="1"/>
  <c r="G119" i="20" s="1"/>
  <c r="I20" i="10" s="1"/>
  <c r="D148" i="5"/>
  <c r="D142" i="5"/>
  <c r="F75" i="4"/>
  <c r="D143" i="5" s="1"/>
  <c r="D139" i="5"/>
  <c r="H119" i="20" l="1"/>
  <c r="F28" i="20"/>
  <c r="G28" i="20" s="1"/>
  <c r="F53" i="20"/>
  <c r="G53" i="20" s="1"/>
  <c r="F112" i="20"/>
  <c r="G112" i="20" s="1"/>
  <c r="I19" i="10" s="1"/>
  <c r="H35" i="20"/>
  <c r="F18" i="20"/>
  <c r="G18" i="20" s="1"/>
  <c r="F5" i="20"/>
  <c r="F128" i="20"/>
  <c r="G128" i="20" s="1"/>
  <c r="F70" i="20"/>
  <c r="G70" i="20" s="1"/>
  <c r="F74" i="20"/>
  <c r="G74" i="20" s="1"/>
  <c r="F106" i="20"/>
  <c r="G106" i="20" s="1"/>
  <c r="F97" i="20"/>
  <c r="G97" i="20" s="1"/>
  <c r="F90" i="20"/>
  <c r="G90" i="20" s="1"/>
  <c r="F84" i="20"/>
  <c r="G84" i="20" s="1"/>
  <c r="F123" i="20"/>
  <c r="G123" i="20" s="1"/>
  <c r="F80" i="20"/>
  <c r="G80" i="20" s="1"/>
  <c r="F132" i="20" l="1"/>
  <c r="G132" i="20" s="1"/>
  <c r="H132" i="20" s="1"/>
  <c r="C176" i="5" s="1" a="1"/>
  <c r="C176" i="5" s="1"/>
  <c r="H80" i="20"/>
  <c r="I14" i="10"/>
  <c r="H123" i="20"/>
  <c r="I21" i="10"/>
  <c r="H84" i="20"/>
  <c r="I15" i="10"/>
  <c r="H90" i="20"/>
  <c r="I16" i="10"/>
  <c r="H97" i="20"/>
  <c r="I17" i="10"/>
  <c r="H106" i="20"/>
  <c r="I18" i="10"/>
  <c r="H74" i="20"/>
  <c r="I13" i="10"/>
  <c r="H70" i="20"/>
  <c r="I12" i="10"/>
  <c r="H128" i="20"/>
  <c r="I22" i="10"/>
  <c r="H18" i="20"/>
  <c r="I8" i="10"/>
  <c r="I10" i="10"/>
  <c r="H53" i="20"/>
  <c r="I11" i="10"/>
  <c r="H28" i="20"/>
  <c r="I9" i="10"/>
  <c r="H112" i="20"/>
  <c r="G5" i="20"/>
  <c r="H5" i="20" l="1"/>
  <c r="I6" i="10"/>
  <c r="B169" i="5"/>
  <c r="B171" i="5"/>
  <c r="S24" i="10" l="1"/>
  <c r="M24" i="10"/>
  <c r="N24" i="10"/>
  <c r="O24" i="10"/>
  <c r="K24" i="10"/>
  <c r="L24" i="10"/>
  <c r="P24" i="10"/>
  <c r="R24" i="10"/>
  <c r="J24" i="10"/>
  <c r="V24" i="10"/>
  <c r="I24" i="10"/>
  <c r="U24" i="10"/>
  <c r="T2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tc={42061CC6-F039-480A-BAC5-1C462E597303}</author>
    <author>tc={7C6BCD4D-ABF9-48F4-98AD-DE889D08AEB0}</author>
    <author>tc={8DCB156B-C672-4EA2-B783-171929C5497C}</author>
    <author>tc={55DCE8B0-F2D5-4A59-A9DD-07A9C937AF35}</author>
    <author>tc={DAA87FC1-699B-4219-90FC-7312FED680F6}</author>
    <author>tc={77BED592-ADCD-4C99-BB58-3CA82917488A}</author>
    <author>tc={A249AAD8-5305-475B-9ABF-381D86A63D4F}</author>
    <author>tc={12C52B99-1270-496A-BBC1-B6150CD47095}</author>
    <author>tc={295DEF5A-AFFD-4CFE-B80E-071A1D805876}</author>
    <author>tc={D20060B2-BC16-480F-BC1E-3C45E8715A77}</author>
    <author>tc={2FE4488D-BFAA-4353-97D0-37FE6117E2E4}</author>
    <author>tc={E80452E1-9D08-4C3B-B8A3-7BFEF613F6B0}</author>
    <author>tc={B8FB0016-B5C7-4E1F-B1D5-667B2F87AEAD}</author>
    <author>tc={3DBB74E8-2DA9-4DBD-A455-75EF104DCBDE}</author>
    <author>tc={36AB7217-0163-4E73-92FA-B17EECD729AC}</author>
    <author>tc={AF5923E0-4021-478E-8050-B09C1766FF6C}</author>
    <author>tc={7D709E84-18BD-4ED3-A6E0-53BAB03D2CC1}</author>
    <author>tc={6E9E2A6A-E205-44FA-ACC0-3F7B7973EF25}</author>
    <author>tc={D4C95196-C736-48D0-86BF-534AD95DF404}</author>
    <author>tc={E0AA3366-CE46-42F9-9BA1-1779060E5E05}</author>
    <author>tc={31528ADB-60D6-4340-8192-087F0F30222A}</author>
    <author>tc={FD4AB424-6EC4-48C1-A4F7-AE056720DAEC}</author>
    <author>tc={62ED6FF1-9517-48F0-B9D1-D643A3E3C000}</author>
    <author>tc={7BC134C6-9D89-4799-AF20-2333DEBE109E}</author>
    <author>tc={A0BA057F-7E9C-4FCD-927E-BCEDA9CF55C4}</author>
    <author>tc={6A933F2A-F65A-409A-97C5-66D4BE04999E}</author>
    <author>tc={E9389FEE-D294-4E72-B3A5-F6224FFB9880}</author>
    <author>tc={6F9DE28B-C4B6-4BE7-8BDB-8D9A5DE1C295}</author>
    <author>tc={F3389971-AA90-47A7-9AC7-74BE45CE4FF1}</author>
    <author>tc={2CCB4139-6CC9-4E4A-B0DD-B622947CF07C}</author>
  </authors>
  <commentList>
    <comment ref="D6" authorId="0" shapeId="0" xr:uid="{42061CC6-F039-480A-BAC5-1C462E597303}">
      <text>
        <t>[Threaded comment]
Your version of Excel allows you to read this threaded comment; however, any edits to it will get removed if the file is opened in a newer version of Excel. Learn more: https://go.microsoft.com/fwlink/?linkid=870924
Comment:
    Approximate Number of Accounts</t>
      </text>
    </comment>
    <comment ref="D7" authorId="1" shapeId="0" xr:uid="{7C6BCD4D-ABF9-48F4-98AD-DE889D08AEB0}">
      <text>
        <t>[Threaded comment]
Your version of Excel allows you to read this threaded comment; however, any edits to it will get removed if the file is opened in a newer version of Excel. Learn more: https://go.microsoft.com/fwlink/?linkid=870924
Comment:
    Number of alternate hierarchies in Account dimension</t>
      </text>
    </comment>
    <comment ref="D9" authorId="2" shapeId="0" xr:uid="{8DCB156B-C672-4EA2-B783-171929C5497C}">
      <text>
        <t>[Threaded comment]
Your version of Excel allows you to read this threaded comment; however, any edits to it will get removed if the file is opened in a newer version of Excel. Learn more: https://go.microsoft.com/fwlink/?linkid=870924
Comment:
    Number of Currencies</t>
      </text>
    </comment>
    <comment ref="D10" authorId="3" shapeId="0" xr:uid="{55DCE8B0-F2D5-4A59-A9DD-07A9C937AF35}">
      <text>
        <t>[Threaded comment]
Your version of Excel allows you to read this threaded comment; however, any edits to it will get removed if the file is opened in a newer version of Excel. Learn more: https://go.microsoft.com/fwlink/?linkid=870924
Comment:
    Number of Reporting Currencies</t>
      </text>
    </comment>
    <comment ref="D11" authorId="4" shapeId="0" xr:uid="{DAA87FC1-699B-4219-90FC-7312FED680F6}">
      <text>
        <t>[Threaded comment]
Your version of Excel allows you to read this threaded comment; however, any edits to it will get removed if the file is opened in a newer version of Excel. Learn more: https://go.microsoft.com/fwlink/?linkid=870924
Comment:
    Number of Entities</t>
      </text>
    </comment>
    <comment ref="D13" authorId="5" shapeId="0" xr:uid="{77BED592-ADCD-4C99-BB58-3CA82917488A}">
      <text>
        <t>[Threaded comment]
Your version of Excel allows you to read this threaded comment; however, any edits to it will get removed if the file is opened in a newer version of Excel. Learn more: https://go.microsoft.com/fwlink/?linkid=870924
Comment:
    Number of alternate hierarchies in Entity dimension</t>
      </text>
    </comment>
    <comment ref="D14" authorId="6" shapeId="0" xr:uid="{A249AAD8-5305-475B-9ABF-381D86A63D4F}">
      <text>
        <t>[Threaded comment]
Your version of Excel allows you to read this threaded comment; however, any edits to it will get removed if the file is opened in a newer version of Excel. Learn more: https://go.microsoft.com/fwlink/?linkid=870924
Comment:
    Number of Scenarios</t>
      </text>
    </comment>
    <comment ref="D16" authorId="7" shapeId="0" xr:uid="{12C52B99-1270-496A-BBC1-B6150CD47095}">
      <text>
        <t>[Threaded comment]
Your version of Excel allows you to read this threaded comment; however, any edits to it will get removed if the file is opened in a newer version of Excel. Learn more: https://go.microsoft.com/fwlink/?linkid=870924
Comment:
    Number of Custom dimensions</t>
      </text>
    </comment>
    <comment ref="D17" authorId="8" shapeId="0" xr:uid="{295DEF5A-AFFD-4CFE-B80E-071A1D805876}">
      <text>
        <t>[Threaded comment]
Your version of Excel allows you to read this threaded comment; however, any edits to it will get removed if the file is opened in a newer version of Excel. Learn more: https://go.microsoft.com/fwlink/?linkid=870924
Comment:
    Number of alternate hierarchies in Custom dimensions</t>
      </text>
    </comment>
    <comment ref="D24" authorId="9" shapeId="0" xr:uid="{D20060B2-BC16-480F-BC1E-3C45E8715A77}">
      <text>
        <t>[Threaded comment]
Your version of Excel allows you to read this threaded comment; however, any edits to it will get removed if the file is opened in a newer version of Excel. Learn more: https://go.microsoft.com/fwlink/?linkid=870924
Comment:
    Number of journal templates</t>
      </text>
    </comment>
    <comment ref="D40" authorId="10" shapeId="0" xr:uid="{2FE4488D-BFAA-4353-97D0-37FE6117E2E4}">
      <text>
        <t>[Threaded comment]
Your version of Excel allows you to read this threaded comment; however, any edits to it will get removed if the file is opened in a newer version of Excel. Learn more: https://go.microsoft.com/fwlink/?linkid=870924
Comment:
    Number of Data Forms</t>
      </text>
    </comment>
    <comment ref="D41" authorId="11" shapeId="0" xr:uid="{E80452E1-9D08-4C3B-B8A3-7BFEF613F6B0}">
      <text>
        <t>[Threaded comment]
Your version of Excel allows you to read this threaded comment; however, any edits to it will get removed if the file is opened in a newer version of Excel. Learn more: https://go.microsoft.com/fwlink/?linkid=870924
Comment:
    Number of dashboards</t>
      </text>
    </comment>
    <comment ref="D44" authorId="12" shapeId="0" xr:uid="{B8FB0016-B5C7-4E1F-B1D5-667B2F87AEAD}">
      <text>
        <t>[Threaded comment]
Your version of Excel allows you to read this threaded comment; however, any edits to it will get removed if the file is opened in a newer version of Excel. Learn more: https://go.microsoft.com/fwlink/?linkid=870924
Comment:
    Number of Insertion Rules</t>
      </text>
    </comment>
    <comment ref="D45" authorId="13" shapeId="0" xr:uid="{3DBB74E8-2DA9-4DBD-A455-75EF104DCBDE}">
      <text>
        <t>[Threaded comment]
Your version of Excel allows you to read this threaded comment; however, any edits to it will get removed if the file is opened in a newer version of Excel. Learn more: https://go.microsoft.com/fwlink/?linkid=870924
Comment:
    Number of Member Formula</t>
      </text>
    </comment>
    <comment ref="D46" authorId="14" shapeId="0" xr:uid="{36AB7217-0163-4E73-92FA-B17EECD729AC}">
      <text>
        <t>[Threaded comment]
Your version of Excel allows you to read this threaded comment; however, any edits to it will get removed if the file is opened in a newer version of Excel. Learn more: https://go.microsoft.com/fwlink/?linkid=870924
Comment:
    Number of translation overrides</t>
      </text>
    </comment>
    <comment ref="D50" authorId="15" shapeId="0" xr:uid="{AF5923E0-4021-478E-8050-B09C1766FF6C}">
      <text>
        <t>[Threaded comment]
Your version of Excel allows you to read this threaded comment; however, any edits to it will get removed if the file is opened in a newer version of Excel. Learn more: https://go.microsoft.com/fwlink/?linkid=870924
Comment:
    Number of secured dimensions</t>
      </text>
    </comment>
    <comment ref="D51" authorId="16" shapeId="0" xr:uid="{7D709E84-18BD-4ED3-A6E0-53BAB03D2CC1}">
      <text>
        <t>[Threaded comment]
Your version of Excel allows you to read this threaded comment; however, any edits to it will get removed if the file is opened in a newer version of Excel. Learn more: https://go.microsoft.com/fwlink/?linkid=870924
Comment:
    Number of users</t>
      </text>
    </comment>
    <comment ref="D54" authorId="17" shapeId="0" xr:uid="{6E9E2A6A-E205-44FA-ACC0-3F7B7973EF25}">
      <text>
        <t>[Threaded comment]
Your version of Excel allows you to read this threaded comment; however, any edits to it will get removed if the file is opened in a newer version of Excel. Learn more: https://go.microsoft.com/fwlink/?linkid=870924
Comment:
    Number of years in historical data validation</t>
      </text>
    </comment>
    <comment ref="D60" authorId="18" shapeId="0" xr:uid="{D4C95196-C736-48D0-86BF-534AD95DF404}">
      <text>
        <t>[Threaded comment]
Your version of Excel allows you to read this threaded comment; however, any edits to it will get removed if the file is opened in a newer version of Excel. Learn more: https://go.microsoft.com/fwlink/?linkid=870924
Comment:
    Number if file based loads</t>
      </text>
    </comment>
    <comment ref="D61" authorId="19" shapeId="0" xr:uid="{E0AA3366-CE46-42F9-9BA1-1779060E5E05}">
      <text>
        <t>[Threaded comment]
Your version of Excel allows you to read this threaded comment; however, any edits to it will get removed if the file is opened in a newer version of Excel. Learn more: https://go.microsoft.com/fwlink/?linkid=870924
Comment:
    Number of Direct Integrations</t>
      </text>
    </comment>
    <comment ref="D63" authorId="20" shapeId="0" xr:uid="{31528ADB-60D6-4340-8192-087F0F30222A}">
      <text>
        <t>[Threaded comment]
Your version of Excel allows you to read this threaded comment; however, any edits to it will get removed if the file is opened in a newer version of Excel. Learn more: https://go.microsoft.com/fwlink/?linkid=870924
Comment:
    Number of Pipelines</t>
      </text>
    </comment>
    <comment ref="D64" authorId="21" shapeId="0" xr:uid="{FD4AB424-6EC4-48C1-A4F7-AE056720DAEC}">
      <text>
        <t>[Threaded comment]
Your version of Excel allows you to read this threaded comment; however, any edits to it will get removed if the file is opened in a newer version of Excel. Learn more: https://go.microsoft.com/fwlink/?linkid=870924
Comment:
    Number Custom Scripting</t>
      </text>
    </comment>
    <comment ref="D67" authorId="22" shapeId="0" xr:uid="{62ED6FF1-9517-48F0-B9D1-D643A3E3C000}">
      <text>
        <t>[Threaded comment]
Your version of Excel allows you to read this threaded comment; however, any edits to it will get removed if the file is opened in a newer version of Excel. Learn more: https://go.microsoft.com/fwlink/?linkid=870924
Comment:
    Number of Management Reports</t>
      </text>
    </comment>
    <comment ref="D68" authorId="23" shapeId="0" xr:uid="{7BC134C6-9D89-4799-AF20-2333DEBE109E}">
      <text>
        <t>[Threaded comment]
Your version of Excel allows you to read this threaded comment; however, any edits to it will get removed if the file is opened in a newer version of Excel. Learn more: https://go.microsoft.com/fwlink/?linkid=870924
Comment:
    Number of Consolidation Reports</t>
      </text>
    </comment>
    <comment ref="D69" authorId="24" shapeId="0" xr:uid="{A0BA057F-7E9C-4FCD-927E-BCEDA9CF55C4}">
      <text>
        <t>[Threaded comment]
Your version of Excel allows you to read this threaded comment; however, any edits to it will get removed if the file is opened in a newer version of Excel. Learn more: https://go.microsoft.com/fwlink/?linkid=870924
Comment:
    Number of Consolidation Journal Reports</t>
      </text>
    </comment>
    <comment ref="D70" authorId="25" shapeId="0" xr:uid="{6A933F2A-F65A-409A-97C5-66D4BE04999E}">
      <text>
        <t>[Threaded comment]
Your version of Excel allows you to read this threaded comment; however, any edits to it will get removed if the file is opened in a newer version of Excel. Learn more: https://go.microsoft.com/fwlink/?linkid=870924
Comment:
    Number of Intercompany Reports</t>
      </text>
    </comment>
    <comment ref="D71" authorId="26" shapeId="0" xr:uid="{E9389FEE-D294-4E72-B3A5-F6224FFB9880}">
      <text>
        <t>[Threaded comment]
Your version of Excel allows you to read this threaded comment; however, any edits to it will get removed if the file is opened in a newer version of Excel. Learn more: https://go.microsoft.com/fwlink/?linkid=870924
Comment:
    Number of Task Manager Reports</t>
      </text>
    </comment>
    <comment ref="D72" authorId="27" shapeId="0" xr:uid="{6F9DE28B-C4B6-4BE7-8BDB-8D9A5DE1C295}">
      <text>
        <t>[Threaded comment]
Your version of Excel allows you to read this threaded comment; however, any edits to it will get removed if the file is opened in a newer version of Excel. Learn more: https://go.microsoft.com/fwlink/?linkid=870924
Comment:
    Number of Enterprise Journal Reports</t>
      </text>
    </comment>
    <comment ref="D73" authorId="28" shapeId="0" xr:uid="{F3389971-AA90-47A7-9AC7-74BE45CE4FF1}">
      <text>
        <t>[Threaded comment]
Your version of Excel allows you to read this threaded comment; however, any edits to it will get removed if the file is opened in a newer version of Excel. Learn more: https://go.microsoft.com/fwlink/?linkid=870924
Comment:
    Number of Smart View Reports</t>
      </text>
    </comment>
    <comment ref="D85" authorId="29" shapeId="0" xr:uid="{2CCB4139-6CC9-4E4A-B0DD-B622947CF07C}">
      <text>
        <t>[Threaded comment]
Your version of Excel allows you to read this threaded comment; however, any edits to it will get removed if the file is opened in a newer version of Excel. Learn more: https://go.microsoft.com/fwlink/?linkid=870924
Comment:
    Number of Parallel testing</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<sst xmlns="http://schemas.openxmlformats.org/spreadsheetml/2006/main" count="520" uniqueCount="315">
  <si>
    <t>App Lead</t>
  </si>
  <si>
    <t>Integration Lead</t>
  </si>
  <si>
    <t>Reporting Lead</t>
  </si>
  <si>
    <t>Security Lead</t>
  </si>
  <si>
    <t>Data Forms</t>
  </si>
  <si>
    <t xml:space="preserve">     Account</t>
  </si>
  <si>
    <t xml:space="preserve">     Entity</t>
  </si>
  <si>
    <t xml:space="preserve">     Scenario</t>
  </si>
  <si>
    <t xml:space="preserve">     Custom Dimensions</t>
  </si>
  <si>
    <t>Ownership Management</t>
  </si>
  <si>
    <t>Consolidation Journals</t>
  </si>
  <si>
    <t>Approval Process</t>
  </si>
  <si>
    <t xml:space="preserve">     Cash Flow</t>
  </si>
  <si>
    <t>Consolidation Reports</t>
  </si>
  <si>
    <t>Consolidation Journal Reports</t>
  </si>
  <si>
    <t>Intercompany Reports</t>
  </si>
  <si>
    <t>Task Manager Reports</t>
  </si>
  <si>
    <t>Enterprise Journal Reports</t>
  </si>
  <si>
    <t>System Configuration Document</t>
  </si>
  <si>
    <t xml:space="preserve">     Multi-GAAP</t>
  </si>
  <si>
    <t>App Developer</t>
  </si>
  <si>
    <t>Historical Data Validation</t>
  </si>
  <si>
    <t>Automations</t>
  </si>
  <si>
    <t xml:space="preserve">     Automated Consolidations</t>
  </si>
  <si>
    <t xml:space="preserve">     Metadata Import</t>
  </si>
  <si>
    <t>Dimensions</t>
  </si>
  <si>
    <t>Application Features</t>
  </si>
  <si>
    <t xml:space="preserve">     Elimination</t>
  </si>
  <si>
    <t xml:space="preserve">     Consolidation Journals</t>
  </si>
  <si>
    <t xml:space="preserve">     Ownership Management</t>
  </si>
  <si>
    <t xml:space="preserve">     Supplemental Data Collection</t>
  </si>
  <si>
    <t xml:space="preserve">     Enterprise Journals</t>
  </si>
  <si>
    <t xml:space="preserve">     Approval Process</t>
  </si>
  <si>
    <t xml:space="preserve">     Task Manager</t>
  </si>
  <si>
    <t xml:space="preserve">     Member Formula</t>
  </si>
  <si>
    <t xml:space="preserve">     Data Forms</t>
  </si>
  <si>
    <t xml:space="preserve">     Dashboards</t>
  </si>
  <si>
    <t>Security</t>
  </si>
  <si>
    <t xml:space="preserve">     Number of Users</t>
  </si>
  <si>
    <t>Historical Data</t>
  </si>
  <si>
    <t>Integrations</t>
  </si>
  <si>
    <t xml:space="preserve">     Files Based Loads</t>
  </si>
  <si>
    <t xml:space="preserve">     Outbound Integrations</t>
  </si>
  <si>
    <t xml:space="preserve">     Pipeline</t>
  </si>
  <si>
    <t xml:space="preserve">     Custom Scripting</t>
  </si>
  <si>
    <t xml:space="preserve">     Direct Connect Integrations</t>
  </si>
  <si>
    <t>Reporting</t>
  </si>
  <si>
    <t xml:space="preserve">     Management Reports</t>
  </si>
  <si>
    <t xml:space="preserve">     Consolidation Reports</t>
  </si>
  <si>
    <t xml:space="preserve">     Consolidation Journal Reports</t>
  </si>
  <si>
    <t xml:space="preserve">     Intercompany Reports</t>
  </si>
  <si>
    <t xml:space="preserve">     Task Manager Reports</t>
  </si>
  <si>
    <t xml:space="preserve">     Enterprise Journal Reports</t>
  </si>
  <si>
    <t>Testing/Training</t>
  </si>
  <si>
    <t xml:space="preserve">     Unit Testing</t>
  </si>
  <si>
    <t xml:space="preserve">     UAT</t>
  </si>
  <si>
    <t xml:space="preserve">     SIT</t>
  </si>
  <si>
    <t xml:space="preserve">     Parallel Testing</t>
  </si>
  <si>
    <t xml:space="preserve">     User Training</t>
  </si>
  <si>
    <t xml:space="preserve">     Automated Data loads</t>
  </si>
  <si>
    <t xml:space="preserve">     Backup and Archival</t>
  </si>
  <si>
    <t xml:space="preserve">     Additional Alias Tables</t>
  </si>
  <si>
    <t>Documentations</t>
  </si>
  <si>
    <t xml:space="preserve">    RTM</t>
  </si>
  <si>
    <t xml:space="preserve">    Design Document</t>
  </si>
  <si>
    <t xml:space="preserve">    Admin Desktop Procedures</t>
  </si>
  <si>
    <t xml:space="preserve">    System Configuration Document</t>
  </si>
  <si>
    <t>YES</t>
  </si>
  <si>
    <t>NO</t>
  </si>
  <si>
    <t>In Scope?</t>
  </si>
  <si>
    <t>Details</t>
  </si>
  <si>
    <t>Tier 1 - Jumpstart</t>
  </si>
  <si>
    <t>Tier 3 - Enhanced Scope</t>
  </si>
  <si>
    <t>Tier 4 - Advanced Enablement</t>
  </si>
  <si>
    <t>Tier 5 - Full Spectrum</t>
  </si>
  <si>
    <t>Tier 2 - Foundation Plus</t>
  </si>
  <si>
    <t>Account</t>
  </si>
  <si>
    <t>Data Source</t>
  </si>
  <si>
    <t>Entity</t>
  </si>
  <si>
    <t>Movement</t>
  </si>
  <si>
    <t>Scenario</t>
  </si>
  <si>
    <t>Multi-GAAP</t>
  </si>
  <si>
    <t>Backup and Archival</t>
  </si>
  <si>
    <t>Unit Testing</t>
  </si>
  <si>
    <t>UAT</t>
  </si>
  <si>
    <t>SIT</t>
  </si>
  <si>
    <t>User Training</t>
  </si>
  <si>
    <t>RTM</t>
  </si>
  <si>
    <t>Design Document</t>
  </si>
  <si>
    <t>Admin Desktop Procedures</t>
  </si>
  <si>
    <t>End user Desktop Procedures</t>
  </si>
  <si>
    <t>Yes_List</t>
  </si>
  <si>
    <t>No_List</t>
  </si>
  <si>
    <t>Account Alternate Hierarchies</t>
  </si>
  <si>
    <t>Entity Alternate Hierarchies</t>
  </si>
  <si>
    <t>Custom Dimensions</t>
  </si>
  <si>
    <t>Alternate Hierarchies in Custom Dimensions</t>
  </si>
  <si>
    <t>Additional Alias Tables</t>
  </si>
  <si>
    <t>Elimination</t>
  </si>
  <si>
    <t>Journal Templates</t>
  </si>
  <si>
    <t>Equity Pickup</t>
  </si>
  <si>
    <t>Partner Elimination</t>
  </si>
  <si>
    <t>Enhanced Organization by Period</t>
  </si>
  <si>
    <t>Cash Flow</t>
  </si>
  <si>
    <t>Supplemental Data Collection</t>
  </si>
  <si>
    <t>Enterprise Journals</t>
  </si>
  <si>
    <t>Task Manager</t>
  </si>
  <si>
    <t>Member Formula</t>
  </si>
  <si>
    <t>Dashboards</t>
  </si>
  <si>
    <t>Number of Users</t>
  </si>
  <si>
    <t>Files Based Loads</t>
  </si>
  <si>
    <t>Direct Connect Integrations</t>
  </si>
  <si>
    <t>Outbound Integrations</t>
  </si>
  <si>
    <t>Pipeline</t>
  </si>
  <si>
    <t>Custom Scripting</t>
  </si>
  <si>
    <t>Automated Data loads</t>
  </si>
  <si>
    <t>Automated Consolidations</t>
  </si>
  <si>
    <t>Metadata Import</t>
  </si>
  <si>
    <t>Parallel Testing</t>
  </si>
  <si>
    <t>Management Reports</t>
  </si>
  <si>
    <t xml:space="preserve">     Data Validation for Account Alt Hierarchies</t>
  </si>
  <si>
    <t xml:space="preserve">     Data Validation for Entity Alt Hierarchies</t>
  </si>
  <si>
    <t>Data Validation for Account Alt Hierarchies</t>
  </si>
  <si>
    <t>Data Validation for Entity Alt Hierarchies</t>
  </si>
  <si>
    <t xml:space="preserve">     Historic Overrides</t>
  </si>
  <si>
    <t>Jtekt</t>
  </si>
  <si>
    <t>Labrie</t>
  </si>
  <si>
    <t>Summit Polymers</t>
  </si>
  <si>
    <t>Delta</t>
  </si>
  <si>
    <t>TECO</t>
  </si>
  <si>
    <t xml:space="preserve">          Account Alternate Hierarchies</t>
  </si>
  <si>
    <t xml:space="preserve">          Entity Alternate Hierarchies</t>
  </si>
  <si>
    <t xml:space="preserve">          Alternate Hierarchies in Custom Dimensions</t>
  </si>
  <si>
    <t xml:space="preserve">     Reporting Currency</t>
  </si>
  <si>
    <t xml:space="preserve">          Journal Templates</t>
  </si>
  <si>
    <t xml:space="preserve">          Enhanced Organization by Period</t>
  </si>
  <si>
    <t xml:space="preserve">          Rationalization of CoA</t>
  </si>
  <si>
    <t>Change Management</t>
  </si>
  <si>
    <t>Rationalization of CoA</t>
  </si>
  <si>
    <t>Reporting Currency</t>
  </si>
  <si>
    <t>Weightage</t>
  </si>
  <si>
    <t xml:space="preserve">     Smart View Reports</t>
  </si>
  <si>
    <t>Scope of Services</t>
  </si>
  <si>
    <t xml:space="preserve">Under this SOW, Donyati will work with Client to provide Services noted below. Actual activities, work items, schedule and deliverables would be jointly managed by Donyati and Client based on the Client’s business priorities. </t>
  </si>
  <si>
    <t>The scope of this engagement is focused on the implementation of the following application modules:</t>
  </si>
  <si>
    <t>Oracle EPM Enterprise – Financial Consolidation and Close</t>
  </si>
  <si>
    <t>Donyati Services consist of the following:</t>
  </si>
  <si>
    <t>Implementation of Financial Consolidation and Close</t>
  </si>
  <si>
    <t>Up to 2 Account alternate hierarchies will be developed</t>
  </si>
  <si>
    <t>Year, Period, View, Consolidation, Intercompany, and Data Source dimensions will be configured to support consolidation and reporting</t>
  </si>
  <si>
    <t>Standard elimination capabilities will be provided</t>
  </si>
  <si>
    <t>Central Ins</t>
  </si>
  <si>
    <t>Cooper Std</t>
  </si>
  <si>
    <t>MTW</t>
  </si>
  <si>
    <t>Project Management</t>
  </si>
  <si>
    <t xml:space="preserve">          Equity Pickup</t>
  </si>
  <si>
    <t xml:space="preserve">          Partner Elimination</t>
  </si>
  <si>
    <t>Account dimension (~ 2000accounts) will be configured based on the current Chart of Accounts. CoA Rationalization will be performed. Standard Trial Balance will be incorporated into the Account dimension to support the following financial statements.</t>
  </si>
  <si>
    <t>Movement dimension will be configured to support Cash Flow and Roll-forward activities.</t>
  </si>
  <si>
    <t>Consolidation Journal will be enabled and 1 Journal Template will be created</t>
  </si>
  <si>
    <t xml:space="preserve">     Project Management</t>
  </si>
  <si>
    <t>Key Design Decisions</t>
  </si>
  <si>
    <t>General Application Configuration</t>
  </si>
  <si>
    <t>Metadata Configuration</t>
  </si>
  <si>
    <t>FCC Consolidations and Other Calculations</t>
  </si>
  <si>
    <t>Reports and Data Form Configuration</t>
  </si>
  <si>
    <t>Historical Data Source and Validations</t>
  </si>
  <si>
    <t>Application Security</t>
  </si>
  <si>
    <t>Audit</t>
  </si>
  <si>
    <t>Timings</t>
  </si>
  <si>
    <t>Journal Process</t>
  </si>
  <si>
    <t>KDD Items</t>
  </si>
  <si>
    <t>KDD01 - General Application Configuration</t>
  </si>
  <si>
    <t>KDD02 - Metadata Configuration</t>
  </si>
  <si>
    <t>KDD03 - FCC Consolidations and Other Calculations</t>
  </si>
  <si>
    <t>KDD04 - Reports and Data Form Configuration</t>
  </si>
  <si>
    <t xml:space="preserve">     Audit</t>
  </si>
  <si>
    <t>Project Initiation and Planning</t>
  </si>
  <si>
    <t>Kickoff Meetings</t>
  </si>
  <si>
    <t>Project Governance</t>
  </si>
  <si>
    <t>Communication Plan</t>
  </si>
  <si>
    <t>Resource Allocation</t>
  </si>
  <si>
    <t>RAID Log</t>
  </si>
  <si>
    <t>Project Plan</t>
  </si>
  <si>
    <t>Plan Status Meetings and SteerCo Meeting Schedule</t>
  </si>
  <si>
    <t>Creating and Managing EPM Cloud Infrastructure</t>
  </si>
  <si>
    <t>Prelim FCC User Provisioning</t>
  </si>
  <si>
    <t>Creating and Setting up Oracle EPM Cloud instances</t>
  </si>
  <si>
    <t>Requirement Gathering Sessions</t>
  </si>
  <si>
    <t>Current CoA details</t>
  </si>
  <si>
    <t>CoA Hierarchies</t>
  </si>
  <si>
    <t>Current Consolidation Model</t>
  </si>
  <si>
    <t>Sample Reports</t>
  </si>
  <si>
    <t>Dimension Details</t>
  </si>
  <si>
    <t>Develop Requirement Treaceability Matrix</t>
  </si>
  <si>
    <t>Formal RTM Signoff</t>
  </si>
  <si>
    <t>Design</t>
  </si>
  <si>
    <t>Internal Peer Review</t>
  </si>
  <si>
    <t>Design and KDD Reviews</t>
  </si>
  <si>
    <t>Design Approval from Client</t>
  </si>
  <si>
    <t>Build and Configure FCC</t>
  </si>
  <si>
    <t>Application Configuration</t>
  </si>
  <si>
    <t xml:space="preserve">     Historical Journal Conversion</t>
  </si>
  <si>
    <t>Setup Application Features</t>
  </si>
  <si>
    <t>Calculations</t>
  </si>
  <si>
    <t>Ratios</t>
  </si>
  <si>
    <t>Configurable Consolidation Rules</t>
  </si>
  <si>
    <t>Historical Journal Conversion</t>
  </si>
  <si>
    <t>PM</t>
  </si>
  <si>
    <t>Architect</t>
  </si>
  <si>
    <t>Feature Clean</t>
  </si>
  <si>
    <t>In Scope Flag</t>
  </si>
  <si>
    <t>FCC Tasks</t>
  </si>
  <si>
    <t>Historic Overrides</t>
  </si>
  <si>
    <t xml:space="preserve">     Custom Elimination Requirement</t>
  </si>
  <si>
    <t>Application Customization</t>
  </si>
  <si>
    <t xml:space="preserve">          Parent Currency Journals</t>
  </si>
  <si>
    <t xml:space="preserve">     Ratios</t>
  </si>
  <si>
    <t>Smart View Reports</t>
  </si>
  <si>
    <t/>
  </si>
  <si>
    <t xml:space="preserve">    End User Desktop Procedures</t>
  </si>
  <si>
    <t xml:space="preserve">     Historical Data Validation</t>
  </si>
  <si>
    <t xml:space="preserve">     Secured Dimensions</t>
  </si>
  <si>
    <t>Time in hours</t>
  </si>
  <si>
    <t>Secured Dimensions</t>
  </si>
  <si>
    <t>Key Design Decision Document</t>
  </si>
  <si>
    <t>Multi Currency</t>
  </si>
  <si>
    <t>Days</t>
  </si>
  <si>
    <t>Months</t>
  </si>
  <si>
    <t>Hours</t>
  </si>
  <si>
    <t>Entity - (~25) will be configures based on the currenct structure. In addtion, up to 2 alternate hierarchies will be developed</t>
  </si>
  <si>
    <t>Currency dimension will be configures with 5 Currencies.There will be 2 Reporting Currency</t>
  </si>
  <si>
    <t>Custom dimensions will be leveraged to support additional reporting requirements. Specific use of 2 Custom Dimensions will be determined during requirements and design</t>
  </si>
  <si>
    <t>Custom dimensions will have 2 alternate hierarchies</t>
  </si>
  <si>
    <t>Ownership Management is not in scope, No Equity pickup</t>
  </si>
  <si>
    <t>KDD05 - Cash Flow</t>
  </si>
  <si>
    <t>KDD06 - Journal Process</t>
  </si>
  <si>
    <t>KDD07 - Integrations</t>
  </si>
  <si>
    <t>KDD08 - Historical Data Source and Validations</t>
  </si>
  <si>
    <t>KDD09 - Automations</t>
  </si>
  <si>
    <t>KDD10 - Approval Process</t>
  </si>
  <si>
    <t>KDD11 - Application Security</t>
  </si>
  <si>
    <t>KDD12 - Audit</t>
  </si>
  <si>
    <t>Range</t>
  </si>
  <si>
    <t>Completion of Services and Deliverables agreed upon is subject to, among other things, appropriate cooperation, obtaining the necessary information, and timely response to inquiries.  The chart below shows the estimated hours per month for each resource role. At the conclusion of Requirements and Design, Donyati will revise the implementation timeline to incorporate agreed upon requirements and design elements. Donyati and Client will review and approve the revised implementation timeline before moving into the Development Phase.</t>
  </si>
  <si>
    <t>Final Estimate</t>
  </si>
  <si>
    <t>Total Time</t>
  </si>
  <si>
    <t>Our of box Configuration of indirect Cash Flow will be used.</t>
  </si>
  <si>
    <t>Approval Process will be used in the application.</t>
  </si>
  <si>
    <t>Task Manager will be used in the application to support Financial Consolidation and Close.</t>
  </si>
  <si>
    <t>Custom Business Rules – If required, up to 3 Custom Business rules will be developed to support Financial Consolidation and Close.</t>
  </si>
  <si>
    <t>Member Formulas  – If required, up to 20 Member Formulas will be developed to support Financial Consolidation and Close.</t>
  </si>
  <si>
    <t>Translation override will be set up if required</t>
  </si>
  <si>
    <t xml:space="preserve"> </t>
  </si>
  <si>
    <t>FCC Implementation Scope</t>
  </si>
  <si>
    <t>in Days</t>
  </si>
  <si>
    <t>Go Live</t>
  </si>
  <si>
    <t>Transition</t>
  </si>
  <si>
    <t>Hypercare</t>
  </si>
  <si>
    <t xml:space="preserve">     Go Live</t>
  </si>
  <si>
    <t xml:space="preserve">     Hypercare</t>
  </si>
  <si>
    <t>% of FTE Efforts</t>
  </si>
  <si>
    <t>Resource Role/Monthly Hours</t>
  </si>
  <si>
    <t>Custom Data Forms – If required, up to 5 Custom Data Forms will be developed to support Financial Consolidation and Close.</t>
  </si>
  <si>
    <t>Go-live support will be provided and additional capabilities will be added per a subsequent Statement of Work expected to be started immediately following the completion of this Statement of Work.</t>
  </si>
  <si>
    <t xml:space="preserve">          Configurable Consolidation Rules</t>
  </si>
  <si>
    <t xml:space="preserve">          Entity Redesign</t>
  </si>
  <si>
    <t xml:space="preserve">     Multi-Currency</t>
  </si>
  <si>
    <t xml:space="preserve">     Business Rules</t>
  </si>
  <si>
    <t xml:space="preserve">     Custom KPIs</t>
  </si>
  <si>
    <t>Entity Redesign</t>
  </si>
  <si>
    <t>Requirement Gathering, Read back and Client Sign-off</t>
  </si>
  <si>
    <t>Resource Role /</t>
  </si>
  <si>
    <t xml:space="preserve"> Monthly Hours</t>
  </si>
  <si>
    <t>Project Manager - USA (50%)</t>
  </si>
  <si>
    <t>Project Manager - India (50%)</t>
  </si>
  <si>
    <r>
      <t xml:space="preserve">Solution Architect - FCC </t>
    </r>
    <r>
      <rPr>
        <strike/>
        <sz val="11"/>
        <color rgb="FFFF0000"/>
        <rFont val="Arial"/>
        <family val="2"/>
      </rPr>
      <t>-</t>
    </r>
    <r>
      <rPr>
        <u/>
        <sz val="11"/>
        <color rgb="FF008080"/>
        <rFont val="Arial"/>
        <family val="2"/>
      </rPr>
      <t>–</t>
    </r>
    <r>
      <rPr>
        <sz val="11"/>
        <color rgb="FF000000"/>
        <rFont val="Arial"/>
        <family val="2"/>
      </rPr>
      <t xml:space="preserve"> USA</t>
    </r>
  </si>
  <si>
    <r>
      <t xml:space="preserve">Integration Architect </t>
    </r>
    <r>
      <rPr>
        <strike/>
        <sz val="11"/>
        <color rgb="FFFF0000"/>
        <rFont val="Arial"/>
        <family val="2"/>
      </rPr>
      <t>-</t>
    </r>
    <r>
      <rPr>
        <u/>
        <sz val="11"/>
        <color rgb="FF008080"/>
        <rFont val="Arial"/>
        <family val="2"/>
      </rPr>
      <t>–</t>
    </r>
    <r>
      <rPr>
        <sz val="11"/>
        <color rgb="FF000000"/>
        <rFont val="Arial"/>
        <family val="2"/>
      </rPr>
      <t xml:space="preserve"> USA</t>
    </r>
  </si>
  <si>
    <r>
      <t xml:space="preserve">Integration Lead </t>
    </r>
    <r>
      <rPr>
        <strike/>
        <sz val="11"/>
        <color rgb="FFFF0000"/>
        <rFont val="Arial"/>
        <family val="2"/>
      </rPr>
      <t>-</t>
    </r>
    <r>
      <rPr>
        <u/>
        <sz val="11"/>
        <color rgb="FF008080"/>
        <rFont val="Arial"/>
        <family val="2"/>
      </rPr>
      <t>–</t>
    </r>
    <r>
      <rPr>
        <sz val="11"/>
        <color rgb="FF000000"/>
        <rFont val="Arial"/>
        <family val="2"/>
      </rPr>
      <t xml:space="preserve"> India</t>
    </r>
  </si>
  <si>
    <r>
      <t xml:space="preserve">Application Lead - FCC </t>
    </r>
    <r>
      <rPr>
        <strike/>
        <sz val="11"/>
        <color rgb="FFFF0000"/>
        <rFont val="Arial"/>
        <family val="2"/>
      </rPr>
      <t>-</t>
    </r>
    <r>
      <rPr>
        <u/>
        <sz val="11"/>
        <color rgb="FF008080"/>
        <rFont val="Arial"/>
        <family val="2"/>
      </rPr>
      <t>–</t>
    </r>
    <r>
      <rPr>
        <sz val="11"/>
        <color rgb="FF000000"/>
        <rFont val="Arial"/>
        <family val="2"/>
      </rPr>
      <t xml:space="preserve"> USA</t>
    </r>
  </si>
  <si>
    <t>Sr. Application Lead - FCC - India</t>
  </si>
  <si>
    <t>Application Lead - Reports - India</t>
  </si>
  <si>
    <r>
      <t xml:space="preserve">Melissa - </t>
    </r>
    <r>
      <rPr>
        <sz val="11"/>
        <color rgb="FF000000"/>
        <rFont val="Arial"/>
        <family val="2"/>
      </rPr>
      <t>Change M</t>
    </r>
    <r>
      <rPr>
        <u/>
        <sz val="11"/>
        <color rgb="FF008080"/>
        <rFont val="Arial"/>
        <family val="2"/>
      </rPr>
      <t>anagement Support</t>
    </r>
    <r>
      <rPr>
        <strike/>
        <sz val="11"/>
        <color rgb="FFFF0000"/>
        <rFont val="Arial"/>
        <family val="2"/>
      </rPr>
      <t>gt</t>
    </r>
  </si>
  <si>
    <t>Total n reports, 1/2 of the reports - Low Complexity</t>
  </si>
  <si>
    <t>1/4 of the reports - Medium complexity</t>
  </si>
  <si>
    <t>1/4 of the reports - High complexity</t>
  </si>
  <si>
    <t>Business Rules</t>
  </si>
  <si>
    <t>Custom KPIs</t>
  </si>
  <si>
    <t>Total n member formula, 1/2 of the member formula - Low Complexity</t>
  </si>
  <si>
    <t>1/4 of the member formula - Medium complexity</t>
  </si>
  <si>
    <t>1/4 of the member formula - High complexity</t>
  </si>
  <si>
    <t>Calc</t>
  </si>
  <si>
    <t>15 days for the first 4 months, and 10 days for each subsequent year</t>
  </si>
  <si>
    <t>PM India</t>
  </si>
  <si>
    <t>India</t>
  </si>
  <si>
    <t>USA</t>
  </si>
  <si>
    <t>Integration Developer</t>
  </si>
  <si>
    <t>PM USA</t>
  </si>
  <si>
    <t>Select the necessary roles for this engagement</t>
  </si>
  <si>
    <t>Architect USA</t>
  </si>
  <si>
    <t>App Lead USA</t>
  </si>
  <si>
    <t>App Lead India</t>
  </si>
  <si>
    <t>App Developer India</t>
  </si>
  <si>
    <t>Integration Lead USA</t>
  </si>
  <si>
    <t>Integration Developer India</t>
  </si>
  <si>
    <t>Reporting Lead India</t>
  </si>
  <si>
    <t>Security Lead India</t>
  </si>
  <si>
    <t xml:space="preserve"> Sr. Delivery Lead</t>
  </si>
  <si>
    <t>Delivery Lead India</t>
  </si>
  <si>
    <t>Sr. Delivery Lead India</t>
  </si>
  <si>
    <t>App Developer USA</t>
  </si>
  <si>
    <t>The engagement start date is 13-Aug-2025</t>
  </si>
  <si>
    <t>The engagement end date is 30-Apr-2026</t>
  </si>
  <si>
    <t>This SOW assumes 8 months to complete Financial Consolidation and Close.</t>
  </si>
  <si>
    <t>Delivery Lead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</si>
</sst>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2" x14ac:knownFonts="1">
    <font>
      <sz val="10"/>
      <color theme="1"/>
      <name val="Verdana"/>
      <family val="2"/>
    </font>
    <font>
      <b/>
      <sz val="10"/>
      <color theme="1"/>
      <name val="Verdana"/>
      <family val="2"/>
    </font>
    <font>
      <u/>
      <sz val="10"/>
      <color theme="1"/>
      <name val="Verdana"/>
      <family val="2"/>
    </font>
    <font>
      <sz val="10"/>
      <color rgb="FF000000"/>
      <name val="Verdana"/>
      <family val="2"/>
    </font>
    <font>
      <sz val="12"/>
      <color theme="1"/>
      <name val="Calibri"/>
      <family val="2"/>
    </font>
    <font>
      <b/>
      <sz val="16"/>
      <color theme="1"/>
      <name val="Verdana"/>
      <family val="2"/>
    </font>
    <font>
      <b/>
      <sz val="12"/>
      <color theme="1"/>
      <name val="Verdana"/>
      <family val="2"/>
    </font>
    <font>
      <b/>
      <sz val="10"/>
      <color theme="0"/>
      <name val="Verdana"/>
      <family val="2"/>
    </font>
    <font>
      <b/>
      <sz val="11"/>
      <color rgb="FF000000"/>
      <name val="Arial"/>
      <family val="2"/>
    </font>
    <font>
      <sz val="11"/>
      <color rgb="FF000000"/>
      <name val="Arial"/>
      <family val="2"/>
    </font>
    <font>
      <strike/>
      <sz val="11"/>
      <color rgb="FFFF0000"/>
      <name val="Arial"/>
      <family val="2"/>
    </font>
    <font>
      <u/>
      <sz val="11"/>
      <color rgb="FF008080"/>
      <name val="Arial"/>
      <family val="2"/>
    </font>
  </fonts>
  <fills count="12">
    <fill>
      <patternFill patternType="none"/>
    </fill>
    <fill>
      <patternFill patternType="gray125"/>
    </fill>
    <fill>
      <patternFill patternType="solid">
        <fgColor theme="1" tint="0.499984740745262"/>
        <bgColor indexed="64"/>
      </patternFill>
    </fill>
    <fill>
      <patternFill patternType="solid">
        <fgColor theme="2" tint="-9.9978637043366805E-2"/>
        <bgColor indexed="64"/>
      </patternFill>
    </fill>
    <fill>
      <patternFill patternType="solid">
        <fgColor rgb="FF8064A2"/>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8C8C8"/>
        <bgColor indexed="64"/>
      </patternFill>
    </fill>
    <fill>
      <patternFill patternType="solid">
        <fgColor rgb="FFBFBFB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58">
    <xf numFmtId="0" fontId="0" fillId="0" borderId="0" xfId="0"/>
    <xf numFmtId="0" fontId="1" fillId="0" borderId="0" xfId="0" applyFont="1"/>
    <xf numFmtId="0" fontId="0" fillId="0" borderId="1" xfId="0" applyBorder="1" applyAlignment="1">
      <alignment horizontal="center"/>
    </xf>
    <xf numFmtId="0" fontId="0" fillId="0" borderId="0" xfId="0" applyAlignment="1">
      <alignment horizontal="center"/>
    </xf>
    <xf numFmtId="0" fontId="1" fillId="0" borderId="0" xfId="0" applyFont="1" applyAlignment="1">
      <alignment horizontal="center" vertical="center"/>
    </xf>
    <xf numFmtId="0" fontId="0" fillId="0" borderId="0" xfId="0" applyAlignment="1">
      <alignment vertical="center"/>
    </xf>
    <xf numFmtId="0" fontId="0" fillId="0" borderId="0" xfId="0" applyAlignment="1">
      <alignment horizontal="center" vertical="center"/>
    </xf>
    <xf numFmtId="0" fontId="4" fillId="0" borderId="0" xfId="0" applyFont="1"/>
    <xf numFmtId="0" fontId="5" fillId="0" borderId="0" xfId="0" applyFont="1"/>
    <xf numFmtId="0" fontId="6" fillId="0" borderId="0" xfId="0" applyFont="1"/>
    <xf numFmtId="9" fontId="0" fillId="0" borderId="0" xfId="0" applyNumberFormat="1"/>
    <xf numFmtId="0" fontId="1" fillId="0" borderId="0" xfId="0" applyFont="1" applyAlignment="1">
      <alignment horizontal="center"/>
    </xf>
    <xf numFmtId="0" fontId="1" fillId="0" borderId="1" xfId="0" applyFont="1" applyBorder="1"/>
    <xf numFmtId="9" fontId="0" fillId="0" borderId="1" xfId="0" applyNumberFormat="1" applyBorder="1" applyAlignment="1">
      <alignment horizontal="center"/>
    </xf>
    <xf numFmtId="164" fontId="0" fillId="0" borderId="0" xfId="0" applyNumberFormat="1"/>
    <xf numFmtId="1" fontId="0" fillId="0" borderId="0" xfId="0" applyNumberFormat="1"/>
    <xf numFmtId="0" fontId="1" fillId="3" borderId="1" xfId="0" applyFont="1" applyFill="1" applyBorder="1"/>
    <xf numFmtId="0" fontId="1" fillId="3" borderId="1" xfId="0" applyFont="1" applyFill="1" applyBorder="1" applyAlignment="1">
      <alignment horizontal="center" vertical="center"/>
    </xf>
    <xf numFmtId="0" fontId="1" fillId="3" borderId="1" xfId="0" applyFont="1" applyFill="1" applyBorder="1" applyAlignment="1">
      <alignment horizontal="center"/>
    </xf>
    <xf numFmtId="0" fontId="1" fillId="0" borderId="1" xfId="0" applyFont="1" applyBorder="1" applyAlignment="1">
      <alignment horizontal="left"/>
    </xf>
    <xf numFmtId="0" fontId="1" fillId="5" borderId="0" xfId="0" applyFont="1" applyFill="1" applyAlignment="1">
      <alignment horizontal="center" wrapText="1"/>
    </xf>
    <xf numFmtId="0" fontId="1" fillId="6" borderId="1" xfId="0" applyFont="1" applyFill="1" applyBorder="1" applyAlignment="1">
      <alignment horizontal="left"/>
    </xf>
    <xf numFmtId="0" fontId="1" fillId="7" borderId="1" xfId="0" applyFont="1" applyFill="1" applyBorder="1" applyAlignment="1">
      <alignment horizontal="left"/>
    </xf>
    <xf numFmtId="0" fontId="1" fillId="8" borderId="1" xfId="0" applyFont="1" applyFill="1" applyBorder="1" applyAlignment="1">
      <alignment horizontal="left"/>
    </xf>
    <xf numFmtId="0" fontId="1" fillId="9" borderId="1" xfId="0" applyFont="1" applyFill="1" applyBorder="1" applyAlignment="1">
      <alignment horizontal="left"/>
    </xf>
    <xf numFmtId="0" fontId="1" fillId="10" borderId="1" xfId="0" applyFont="1" applyFill="1" applyBorder="1" applyAlignment="1">
      <alignment horizontal="center" wrapText="1"/>
    </xf>
    <xf numFmtId="0" fontId="1" fillId="10" borderId="1" xfId="0" applyFont="1" applyFill="1" applyBorder="1"/>
    <xf numFmtId="0" fontId="0" fillId="0" borderId="1" xfId="0" applyBorder="1" applyProtection="1">
      <protection locked="0"/>
    </xf>
    <xf numFmtId="0" fontId="0" fillId="0" borderId="1" xfId="0" applyBorder="1" applyAlignment="1" applyProtection="1">
      <alignment horizontal="center"/>
      <protection locked="0"/>
    </xf>
    <xf numFmtId="0" fontId="0" fillId="2" borderId="1" xfId="0" applyFill="1" applyBorder="1" applyProtection="1">
      <protection locked="0"/>
    </xf>
    <xf numFmtId="0" fontId="0" fillId="0" borderId="0" xfId="0" applyProtection="1">
      <protection locked="0"/>
    </xf>
    <xf numFmtId="0" fontId="0" fillId="0" borderId="0" xfId="0" applyAlignment="1" applyProtection="1">
      <alignment horizontal="center"/>
      <protection locked="0"/>
    </xf>
    <xf numFmtId="0" fontId="1" fillId="0" borderId="0" xfId="0" applyFont="1" applyProtection="1">
      <protection locked="0"/>
    </xf>
    <xf numFmtId="0" fontId="0" fillId="0" borderId="6" xfId="0" applyBorder="1" applyAlignment="1" applyProtection="1">
      <alignment horizontal="center"/>
      <protection locked="0"/>
    </xf>
    <xf numFmtId="0" fontId="0" fillId="2" borderId="2" xfId="0" applyFill="1" applyBorder="1" applyProtection="1">
      <protection locked="0"/>
    </xf>
    <xf numFmtId="0" fontId="0" fillId="2" borderId="3" xfId="0" applyFill="1" applyBorder="1" applyProtection="1">
      <protection locked="0"/>
    </xf>
    <xf numFmtId="0" fontId="0" fillId="2" borderId="4" xfId="0" applyFill="1" applyBorder="1" applyProtection="1">
      <protection locked="0"/>
    </xf>
    <xf numFmtId="0" fontId="0" fillId="0" borderId="3" xfId="0" applyBorder="1" applyProtection="1">
      <protection locked="0"/>
    </xf>
    <xf numFmtId="0" fontId="0" fillId="0" borderId="2" xfId="0" applyBorder="1" applyProtection="1">
      <protection locked="0"/>
    </xf>
    <xf numFmtId="0" fontId="0" fillId="0" borderId="4" xfId="0" applyBorder="1" applyProtection="1">
      <protection locked="0"/>
    </xf>
    <xf numFmtId="0" fontId="2" fillId="0" borderId="0" xfId="0" applyFont="1" applyAlignment="1" applyProtection="1">
      <alignment horizontal="center"/>
      <protection locked="0"/>
    </xf>
    <xf numFmtId="0" fontId="2" fillId="0" borderId="0" xfId="0" applyFont="1" applyProtection="1">
      <protection locked="0"/>
    </xf>
    <xf numFmtId="0" fontId="7" fillId="4" borderId="0" xfId="0" applyFont="1" applyFill="1" applyProtection="1">
      <protection locked="0"/>
    </xf>
    <xf numFmtId="0" fontId="7" fillId="4" borderId="0" xfId="0" applyFont="1" applyFill="1" applyAlignment="1" applyProtection="1">
      <alignment horizontal="center" vertical="center"/>
      <protection locked="0"/>
    </xf>
    <xf numFmtId="0" fontId="8" fillId="1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9" fillId="0" borderId="8" xfId="0" applyFont="1" applyBorder="1" applyAlignment="1">
      <alignment vertical="center"/>
    </xf>
    <xf numFmtId="0" fontId="9" fillId="0" borderId="9" xfId="0" applyFont="1" applyBorder="1" applyAlignment="1">
      <alignment horizontal="center" vertical="center"/>
    </xf>
    <xf numFmtId="0" fontId="10" fillId="0" borderId="8" xfId="0" applyFont="1" applyBorder="1" applyAlignment="1">
      <alignment vertical="center"/>
    </xf>
    <xf numFmtId="0" fontId="9" fillId="0" borderId="0" xfId="0" applyFont="1" applyAlignment="1">
      <alignment horizontal="center" vertical="center"/>
    </xf>
    <xf numFmtId="0" fontId="1" fillId="0" borderId="1" xfId="0" applyFont="1" applyBorder="1" applyAlignment="1" applyProtection="1">
      <alignment horizontal="center"/>
      <protection locked="0"/>
    </xf>
    <xf numFmtId="0" fontId="0" fillId="0" borderId="1" xfId="0" applyBorder="1" applyProtection="1">
      <protection locked="0"/>
      <extLst>
        <ext xmlns:xfpb="http://schemas.microsoft.com/office/spreadsheetml/2022/featurepropertybag" uri="{C7286773-470A-42A8-94C5-96B5CB345126}">
          <xfpb:xfComplement i="0"/>
        </ext>
      </extLst>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xf>
    <xf numFmtId="0" fontId="1" fillId="0" borderId="5" xfId="0" applyFont="1" applyBorder="1" applyAlignment="1">
      <alignment horizontal="center"/>
    </xf>
    <xf numFmtId="0" fontId="8" fillId="11" borderId="7" xfId="0" applyFont="1" applyFill="1" applyBorder="1" applyAlignment="1">
      <alignment horizontal="center" vertical="center" wrapText="1"/>
    </xf>
    <xf numFmtId="0" fontId="8" fillId="11" borderId="8" xfId="0" applyFont="1" applyFill="1" applyBorder="1" applyAlignment="1">
      <alignment horizontal="center" vertical="center" wrapText="1"/>
    </xf>
  </cellXfs>
  <cellStyles count="1">
    <cellStyle name="Normal" xfId="0" builtinId="0"/>
  </cellStyles>
  <dxfs count="10">
    <dxf>
      <font>
        <color theme="0"/>
      </font>
    </dxf>
    <dxf>
      <font>
        <color theme="1" tint="0.499984740745262"/>
      </font>
      <fill>
        <patternFill>
          <bgColor theme="1" tint="0.499984740745262"/>
        </patternFill>
      </fill>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colors>
    <mruColors>
      <color rgb="FF8064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22/11/relationships/FeaturePropertyBag" Target="featurePropertyBag/featurePropertyBag.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552450</xdr:colOff>
          <xdr:row>5</xdr:row>
          <xdr:rowOff>12700</xdr:rowOff>
        </xdr:from>
        <xdr:to>
          <xdr:col>14</xdr:col>
          <xdr:colOff>660400</xdr:colOff>
          <xdr:row>8</xdr:row>
          <xdr:rowOff>38100</xdr:rowOff>
        </xdr:to>
        <xdr:sp macro="" textlink="">
          <xdr:nvSpPr>
            <xdr:cNvPr id="4161" name="Button 65" hidden="1">
              <a:extLst>
                <a:ext uri="{63B3BB69-23CF-44E3-9099-C40C66FF867C}">
                  <a14:compatExt spid="_x0000_s4161"/>
                </a:ext>
                <a:ext uri="{FF2B5EF4-FFF2-40B4-BE49-F238E27FC236}">
                  <a16:creationId xmlns:a16="http://schemas.microsoft.com/office/drawing/2014/main" id="{00000000-0008-0000-0000-000041100000}"/>
                </a:ext>
              </a:extLst>
            </xdr:cNvPr>
            <xdr:cNvSpPr/>
          </xdr:nvSpPr>
          <xdr:spPr bwMode="auto">
            <a:xfrm>
              <a:off x="0" y="0"/>
              <a:ext cx="0" cy="0"/>
            </a:xfrm>
            <a:prstGeom prst="rect">
              <a:avLst/>
            </a:prstGeom>
            <a:noFill/>
            <a:ln w="9525">
              <a:miter lim="800000"/>
              <a:headEnd/>
              <a:tailEnd/>
            </a:ln>
          </xdr:spPr>
          <xdr:txBody>
            <a:bodyPr vertOverflow="clip" wrap="square" lIns="45720" tIns="32004" rIns="45720" bIns="32004" anchor="ctr" upright="1"/>
            <a:lstStyle/>
            <a:p>
              <a:pPr algn="ctr" rtl="0">
                <a:defRPr sz="1000"/>
              </a:pPr>
              <a:r>
                <a:rPr lang="en-IN" sz="1000" b="0" i="0" u="none" strike="noStrike" baseline="0">
                  <a:solidFill>
                    <a:srgbClr val="000000"/>
                  </a:solidFill>
                  <a:latin typeface="Verdana"/>
                  <a:ea typeface="Verdana"/>
                </a:rPr>
                <a:t>Implementation Tiering Process</a:t>
              </a:r>
            </a:p>
          </xdr:txBody>
        </xdr:sp>
        <xdr:clientData fPrintsWithSheet="0"/>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parna Ottapurakkal Kallada" id="{82FD6A8D-ABF1-45EC-B96C-E3F2D4C2B8B2}" userId="S::aparna.kallada@donyati.com::b632b7d2-acf4-4ee0-9ee0-80cf2b0fa13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6" dT="2025-07-08T07:03:42.61" personId="{82FD6A8D-ABF1-45EC-B96C-E3F2D4C2B8B2}" id="{42061CC6-F039-480A-BAC5-1C462E597303}">
    <text>Approximate Number of Accounts</text>
  </threadedComment>
  <threadedComment ref="D7" dT="2025-07-08T07:04:32.71" personId="{82FD6A8D-ABF1-45EC-B96C-E3F2D4C2B8B2}" id="{7C6BCD4D-ABF9-48F4-98AD-DE889D08AEB0}">
    <text>Number of alternate hierarchies in Account dimension</text>
  </threadedComment>
  <threadedComment ref="D9" dT="2025-07-08T07:04:46.72" personId="{82FD6A8D-ABF1-45EC-B96C-E3F2D4C2B8B2}" id="{8DCB156B-C672-4EA2-B783-171929C5497C}">
    <text>Number of Currencies</text>
  </threadedComment>
  <threadedComment ref="D10" dT="2025-07-08T07:21:12.17" personId="{82FD6A8D-ABF1-45EC-B96C-E3F2D4C2B8B2}" id="{55DCE8B0-F2D5-4A59-A9DD-07A9C937AF35}">
    <text>Number of Reporting Currencies</text>
  </threadedComment>
  <threadedComment ref="D11" dT="2025-07-08T07:21:25.93" personId="{82FD6A8D-ABF1-45EC-B96C-E3F2D4C2B8B2}" id="{DAA87FC1-699B-4219-90FC-7312FED680F6}">
    <text>Number of Entities</text>
  </threadedComment>
  <threadedComment ref="D13" dT="2025-07-08T07:21:48.01" personId="{82FD6A8D-ABF1-45EC-B96C-E3F2D4C2B8B2}" id="{77BED592-ADCD-4C99-BB58-3CA82917488A}">
    <text>Number of alternate hierarchies in Entity dimension</text>
  </threadedComment>
  <threadedComment ref="D14" dT="2025-07-08T07:22:17.65" personId="{82FD6A8D-ABF1-45EC-B96C-E3F2D4C2B8B2}" id="{A249AAD8-5305-475B-9ABF-381D86A63D4F}">
    <text>Number of Scenarios</text>
  </threadedComment>
  <threadedComment ref="D16" dT="2025-07-08T07:22:30.50" personId="{82FD6A8D-ABF1-45EC-B96C-E3F2D4C2B8B2}" id="{12C52B99-1270-496A-BBC1-B6150CD47095}">
    <text>Number of Custom dimensions</text>
  </threadedComment>
  <threadedComment ref="D17" dT="2025-07-08T07:23:02.44" personId="{82FD6A8D-ABF1-45EC-B96C-E3F2D4C2B8B2}" id="{295DEF5A-AFFD-4CFE-B80E-071A1D805876}">
    <text>Number of alternate hierarchies in Custom dimensions</text>
  </threadedComment>
  <threadedComment ref="D24" dT="2025-07-08T07:23:14.27" personId="{82FD6A8D-ABF1-45EC-B96C-E3F2D4C2B8B2}" id="{D20060B2-BC16-480F-BC1E-3C45E8715A77}">
    <text>Number of journal templates</text>
  </threadedComment>
  <threadedComment ref="D40" dT="2025-07-08T07:25:07.44" personId="{82FD6A8D-ABF1-45EC-B96C-E3F2D4C2B8B2}" id="{2FE4488D-BFAA-4353-97D0-37FE6117E2E4}">
    <text>Number of Data Forms</text>
  </threadedComment>
  <threadedComment ref="D41" dT="2025-07-08T07:25:19.16" personId="{82FD6A8D-ABF1-45EC-B96C-E3F2D4C2B8B2}" id="{E80452E1-9D08-4C3B-B8A3-7BFEF613F6B0}">
    <text>Number of dashboards</text>
  </threadedComment>
  <threadedComment ref="D44" dT="2025-07-08T07:37:56.28" personId="{82FD6A8D-ABF1-45EC-B96C-E3F2D4C2B8B2}" id="{B8FB0016-B5C7-4E1F-B1D5-667B2F87AEAD}">
    <text>Number of Insertion Rules</text>
  </threadedComment>
  <threadedComment ref="D45" dT="2025-07-08T07:37:45.94" personId="{82FD6A8D-ABF1-45EC-B96C-E3F2D4C2B8B2}" id="{3DBB74E8-2DA9-4DBD-A455-75EF104DCBDE}">
    <text>Number of Member Formula</text>
  </threadedComment>
  <threadedComment ref="D46" dT="2025-07-08T07:37:36.00" personId="{82FD6A8D-ABF1-45EC-B96C-E3F2D4C2B8B2}" id="{36AB7217-0163-4E73-92FA-B17EECD729AC}">
    <text>Number of translation overrides</text>
  </threadedComment>
  <threadedComment ref="D50" dT="2025-07-08T07:37:04.95" personId="{82FD6A8D-ABF1-45EC-B96C-E3F2D4C2B8B2}" id="{AF5923E0-4021-478E-8050-B09C1766FF6C}">
    <text>Number of secured dimensions</text>
  </threadedComment>
  <threadedComment ref="D51" dT="2025-07-08T07:36:53.10" personId="{82FD6A8D-ABF1-45EC-B96C-E3F2D4C2B8B2}" id="{7D709E84-18BD-4ED3-A6E0-53BAB03D2CC1}">
    <text>Number of users</text>
  </threadedComment>
  <threadedComment ref="D54" dT="2025-07-08T07:36:36.34" personId="{82FD6A8D-ABF1-45EC-B96C-E3F2D4C2B8B2}" id="{6E9E2A6A-E205-44FA-ACC0-3F7B7973EF25}">
    <text>Number of years in historical data validation</text>
  </threadedComment>
  <threadedComment ref="D60" dT="2025-07-08T07:35:40.53" personId="{82FD6A8D-ABF1-45EC-B96C-E3F2D4C2B8B2}" id="{D4C95196-C736-48D0-86BF-534AD95DF404}">
    <text>Number if file based loads</text>
  </threadedComment>
  <threadedComment ref="D61" dT="2025-07-08T07:35:28.09" personId="{82FD6A8D-ABF1-45EC-B96C-E3F2D4C2B8B2}" id="{E0AA3366-CE46-42F9-9BA1-1779060E5E05}">
    <text>Number of Direct Integrations</text>
  </threadedComment>
  <threadedComment ref="D63" dT="2025-07-08T07:34:32.44" personId="{82FD6A8D-ABF1-45EC-B96C-E3F2D4C2B8B2}" id="{31528ADB-60D6-4340-8192-087F0F30222A}">
    <text>Number of Pipelines</text>
  </threadedComment>
  <threadedComment ref="D64" dT="2025-07-08T07:34:09.63" personId="{82FD6A8D-ABF1-45EC-B96C-E3F2D4C2B8B2}" id="{FD4AB424-6EC4-48C1-A4F7-AE056720DAEC}">
    <text>Number Custom Scripting</text>
  </threadedComment>
  <threadedComment ref="D67" dT="2025-07-08T07:30:06.54" personId="{82FD6A8D-ABF1-45EC-B96C-E3F2D4C2B8B2}" id="{62ED6FF1-9517-48F0-B9D1-D643A3E3C000}">
    <text>Number of Management Reports</text>
  </threadedComment>
  <threadedComment ref="D68" dT="2025-07-08T07:30:06.54" personId="{82FD6A8D-ABF1-45EC-B96C-E3F2D4C2B8B2}" id="{7BC134C6-9D89-4799-AF20-2333DEBE109E}">
    <text>Number of Consolidation Reports</text>
  </threadedComment>
  <threadedComment ref="D69" dT="2025-07-08T07:30:06.54" personId="{82FD6A8D-ABF1-45EC-B96C-E3F2D4C2B8B2}" id="{A0BA057F-7E9C-4FCD-927E-BCEDA9CF55C4}">
    <text>Number of Consolidation Journal Reports</text>
  </threadedComment>
  <threadedComment ref="D70" dT="2025-07-08T07:30:06.54" personId="{82FD6A8D-ABF1-45EC-B96C-E3F2D4C2B8B2}" id="{6A933F2A-F65A-409A-97C5-66D4BE04999E}">
    <text>Number of Intercompany Reports</text>
  </threadedComment>
  <threadedComment ref="D71" dT="2025-07-08T07:30:06.54" personId="{82FD6A8D-ABF1-45EC-B96C-E3F2D4C2B8B2}" id="{E9389FEE-D294-4E72-B3A5-F6224FFB9880}">
    <text>Number of Task Manager Reports</text>
  </threadedComment>
  <threadedComment ref="D72" dT="2025-07-08T07:30:06.54" personId="{82FD6A8D-ABF1-45EC-B96C-E3F2D4C2B8B2}" id="{6F9DE28B-C4B6-4BE7-8BDB-8D9A5DE1C295}">
    <text>Number of Enterprise Journal Reports</text>
  </threadedComment>
  <threadedComment ref="D73" dT="2025-07-08T07:30:06.54" personId="{82FD6A8D-ABF1-45EC-B96C-E3F2D4C2B8B2}" id="{F3389971-AA90-47A7-9AC7-74BE45CE4FF1}">
    <text>Number of Smart View Reports</text>
  </threadedComment>
  <threadedComment ref="D85" dT="2025-07-08T07:30:06.54" personId="{82FD6A8D-ABF1-45EC-B96C-E3F2D4C2B8B2}" id="{2CCB4139-6CC9-4E4A-B0DD-B622947CF07C}">
    <text>Number of Parallel testing</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A19B7-A902-4BD0-880D-85DEFBB71085}">
  <sheetPr codeName="Sheet4"/>
  <dimension ref="B3:Z124"/>
  <sheetViews>
    <sheetView showGridLines="0" tabSelected="1" zoomScale="60" zoomScaleNormal="60" workbookViewId="0">
      <pane xSplit="2" ySplit="4" topLeftCell="C5" activePane="bottomRight" state="frozen"/>
      <selection activeCell="H14" sqref="H14:H28"/>
      <selection pane="topRight" activeCell="H14" sqref="H14:H28"/>
      <selection pane="bottomLeft" activeCell="H14" sqref="H14:H28"/>
      <selection pane="bottomRight" activeCell="H105" sqref="H105"/>
    </sheetView>
  </sheetViews>
  <sheetFormatPr defaultColWidth="9.23046875" defaultRowHeight="13.5" x14ac:dyDescent="0.3"/>
  <cols>
    <col min="1" max="1" width="9.23046875" style="30"/>
    <col min="2" max="2" width="45.765625" style="30" bestFit="1" customWidth="1"/>
    <col min="3" max="3" width="17.84375" style="31" customWidth="1"/>
    <col min="4" max="4" width="22.84375" style="30" customWidth="1"/>
    <col min="5" max="5" width="7.23046875" style="30" hidden="1" customWidth="1"/>
    <col min="6" max="6" width="26.15234375" style="30" customWidth="1"/>
    <col min="7" max="7" width="40.4609375" style="30" customWidth="1"/>
    <col min="8" max="8" width="20.765625" style="30" customWidth="1"/>
    <col min="9" max="10" width="9.23046875" style="30"/>
    <col min="11" max="11" width="45.23046875" style="30" bestFit="1" customWidth="1"/>
    <col min="12" max="16384" width="9.23046875" style="30"/>
  </cols>
  <sheetData>
    <row r="3" spans="2:26" x14ac:dyDescent="0.3">
      <c r="B3" s="42" t="s">
        <v>254</v>
      </c>
      <c r="C3" s="43" t="s">
        <v>69</v>
      </c>
      <c r="D3" s="43" t="s">
        <v>70</v>
      </c>
      <c r="G3" s="30" t="s">
        <v>210</v>
      </c>
      <c r="H3" s="30" t="s">
        <v>211</v>
      </c>
    </row>
    <row r="4" spans="2:26" x14ac:dyDescent="0.3">
      <c r="Y4" s="30" t="s">
        <v>91</v>
      </c>
      <c r="Z4" s="30" t="s">
        <v>92</v>
      </c>
    </row>
    <row r="5" spans="2:26" x14ac:dyDescent="0.3">
      <c r="B5" s="32" t="s">
        <v>25</v>
      </c>
      <c r="X5" s="31" t="s">
        <v>67</v>
      </c>
      <c r="Y5" s="30">
        <v>1</v>
      </c>
      <c r="Z5" s="30">
        <v>0</v>
      </c>
    </row>
    <row r="6" spans="2:26" x14ac:dyDescent="0.3">
      <c r="B6" s="27" t="s">
        <v>5</v>
      </c>
      <c r="C6" s="2" t="s">
        <v>67</v>
      </c>
      <c r="D6" s="27">
        <v>2000</v>
      </c>
      <c r="E6" s="30">
        <f>1 + IF(C7="NO", 0, IF(AND(D7&gt;0, D7&lt;=2), 1, IF(AND(D7&gt;2,D7&lt;=4), 2, IF(AND(D7&gt;4,D7&lt;=6), 3, IF(AND(D7&gt;6,D7&lt;=8), 4, ""))))) + IF(C8="YES",2,0)</f>
        <v>4</v>
      </c>
      <c r="G6" s="30" t="str">
        <f>TRIM(B6)</f>
        <v>Account</v>
      </c>
      <c r="H6" s="30">
        <f>IF(C6="YES",1,0)</f>
        <v>1</v>
      </c>
      <c r="X6" s="31" t="s">
        <v>68</v>
      </c>
      <c r="Y6" s="30">
        <v>2</v>
      </c>
    </row>
    <row r="7" spans="2:26" x14ac:dyDescent="0.3">
      <c r="B7" s="27" t="s">
        <v>130</v>
      </c>
      <c r="C7" s="28" t="s">
        <v>67</v>
      </c>
      <c r="D7" s="27">
        <v>2</v>
      </c>
      <c r="G7" s="30" t="str">
        <f t="shared" ref="G7:G62" si="0">TRIM(B7)</f>
        <v>Account Alternate Hierarchies</v>
      </c>
      <c r="H7" s="30">
        <f t="shared" ref="H7:H62" si="1">IF(C7="YES",1,0)</f>
        <v>1</v>
      </c>
      <c r="Y7" s="30">
        <v>3</v>
      </c>
    </row>
    <row r="8" spans="2:26" x14ac:dyDescent="0.3">
      <c r="B8" s="27" t="s">
        <v>136</v>
      </c>
      <c r="C8" s="28" t="s">
        <v>67</v>
      </c>
      <c r="D8" s="29">
        <v>3</v>
      </c>
      <c r="G8" s="30" t="str">
        <f t="shared" si="0"/>
        <v>Rationalization of CoA</v>
      </c>
      <c r="H8" s="30">
        <f t="shared" si="1"/>
        <v>1</v>
      </c>
    </row>
    <row r="9" spans="2:26" x14ac:dyDescent="0.3">
      <c r="B9" s="27" t="s">
        <v>267</v>
      </c>
      <c r="C9" s="28" t="s">
        <v>67</v>
      </c>
      <c r="D9" s="27">
        <v>5</v>
      </c>
      <c r="E9" s="30">
        <f>IF(C9="NO", 0, IF(AND(D9&gt;0, D9&lt;=5), 1, IF(AND(D9&gt;5,D9&lt;=10), 2, IF(AND(D9&gt;10,D9&lt;=15), 3, IF(AND(D9&gt;15,D9&lt;=20), 4, 8)))))</f>
        <v>1</v>
      </c>
      <c r="G9" s="30" t="str">
        <f t="shared" si="0"/>
        <v>Multi-Currency</v>
      </c>
      <c r="H9" s="30">
        <f t="shared" si="1"/>
        <v>1</v>
      </c>
      <c r="Y9" s="30">
        <v>4</v>
      </c>
    </row>
    <row r="10" spans="2:26" x14ac:dyDescent="0.3">
      <c r="B10" s="27" t="s">
        <v>133</v>
      </c>
      <c r="C10" s="2" t="s">
        <v>67</v>
      </c>
      <c r="D10" s="27">
        <v>2</v>
      </c>
      <c r="E10" s="30">
        <f>IF(D10=1,0,IF(AND(D10&gt;1,D10&lt;=2),2,IF(AND(D10&gt;2,D10&lt;=4),3,5)))</f>
        <v>2</v>
      </c>
      <c r="G10" s="30" t="str">
        <f t="shared" si="0"/>
        <v>Reporting Currency</v>
      </c>
      <c r="H10" s="30">
        <f>IF(C10="YES",1,0)</f>
        <v>1</v>
      </c>
    </row>
    <row r="11" spans="2:26" x14ac:dyDescent="0.3">
      <c r="B11" s="27" t="s">
        <v>6</v>
      </c>
      <c r="C11" s="2" t="s">
        <v>67</v>
      </c>
      <c r="D11" s="27">
        <v>25</v>
      </c>
      <c r="E11" s="30">
        <f>1 + IF(C11="YES",2,0)+ IF(C13="NO", 0, IF(AND(D13&gt;0, D13&lt;=2), 1, IF(AND(D13&gt;2,D13&lt;=4), 2, IF(AND(D13&gt;4,D13&lt;=6), 3, IF(AND(D13&gt;6,D13&lt;=8), 4, 5)))))</f>
        <v>4</v>
      </c>
      <c r="G11" s="30" t="str">
        <f t="shared" si="0"/>
        <v>Entity</v>
      </c>
      <c r="H11" s="30">
        <f t="shared" si="1"/>
        <v>1</v>
      </c>
    </row>
    <row r="12" spans="2:26" x14ac:dyDescent="0.3">
      <c r="B12" s="27" t="s">
        <v>266</v>
      </c>
      <c r="C12" s="28" t="s">
        <v>68</v>
      </c>
      <c r="D12" s="29"/>
      <c r="G12" s="30" t="str">
        <f t="shared" si="0"/>
        <v>Entity Redesign</v>
      </c>
      <c r="H12" s="30">
        <f t="shared" si="1"/>
        <v>0</v>
      </c>
    </row>
    <row r="13" spans="2:26" x14ac:dyDescent="0.3">
      <c r="B13" s="27" t="s">
        <v>131</v>
      </c>
      <c r="C13" s="28" t="s">
        <v>67</v>
      </c>
      <c r="D13" s="27">
        <v>2</v>
      </c>
      <c r="G13" s="30" t="str">
        <f t="shared" si="0"/>
        <v>Entity Alternate Hierarchies</v>
      </c>
      <c r="H13" s="30">
        <f t="shared" si="1"/>
        <v>1</v>
      </c>
      <c r="K13" s="42" t="s">
        <v>298</v>
      </c>
    </row>
    <row r="14" spans="2:26" x14ac:dyDescent="0.3">
      <c r="B14" s="27" t="s">
        <v>7</v>
      </c>
      <c r="C14" s="2" t="s">
        <v>67</v>
      </c>
      <c r="D14" s="27">
        <v>2</v>
      </c>
      <c r="E14" s="30">
        <f>IF(D14=1,1,IF(AND(D14&gt;1,D14&lt;=2),3,IF(AND(D14&gt;2,D14&lt;=3),4,IF(AND(D14&gt;3,D14&lt;=4),5,6))))</f>
        <v>3</v>
      </c>
      <c r="G14" s="30" t="str">
        <f t="shared" si="0"/>
        <v>Scenario</v>
      </c>
      <c r="H14" s="30">
        <f t="shared" si="1"/>
        <v>1</v>
      </c>
      <c r="K14" s="50" t="s">
        <v>297</v>
      </c>
      <c r="L14" s="51" t="b">
        <v>1</v>
      </c>
    </row>
    <row r="15" spans="2:26" x14ac:dyDescent="0.3">
      <c r="B15" s="27" t="s">
        <v>19</v>
      </c>
      <c r="C15" s="28" t="s">
        <v>67</v>
      </c>
      <c r="D15" s="29"/>
      <c r="E15" s="30">
        <f>IF(C15="NO", 0, 1)</f>
        <v>1</v>
      </c>
      <c r="G15" s="30" t="str">
        <f t="shared" si="0"/>
        <v>Multi-GAAP</v>
      </c>
      <c r="H15" s="30">
        <f t="shared" si="1"/>
        <v>1</v>
      </c>
      <c r="K15" s="50" t="s">
        <v>293</v>
      </c>
      <c r="L15" s="51" t="b">
        <v>1</v>
      </c>
    </row>
    <row r="16" spans="2:26" x14ac:dyDescent="0.3">
      <c r="B16" s="27" t="s">
        <v>8</v>
      </c>
      <c r="C16" s="28" t="s">
        <v>67</v>
      </c>
      <c r="D16" s="27">
        <v>2</v>
      </c>
      <c r="E16" s="30">
        <f>IF(C16="NO", 0, IF(AND(D16&gt;0, D16&lt;=2), 1, IF(AND(D16&gt;2,D16&lt;=3), 2, IF(AND(D16&gt;10,D16&lt;=15), 3, IF(AND(D16&gt;15,D16&lt;=20), 4, ""))))) + IF(C17="NO", 0, IF(AND(D17&gt;0, D17&lt;=5), 1, IF(AND(D17&gt;5,D17&lt;=10), 2, IF(AND(D17&gt;10,D17&lt;=15), 3, IF(AND(D17&gt;15,D17&lt;=20), 4, "")))))</f>
        <v>2</v>
      </c>
      <c r="G16" s="30" t="str">
        <f t="shared" si="0"/>
        <v>Custom Dimensions</v>
      </c>
      <c r="H16" s="30">
        <f t="shared" si="1"/>
        <v>1</v>
      </c>
      <c r="K16" s="50" t="s">
        <v>299</v>
      </c>
      <c r="L16" s="51" t="b">
        <v>1</v>
      </c>
    </row>
    <row r="17" spans="2:12" x14ac:dyDescent="0.3">
      <c r="B17" s="27" t="s">
        <v>132</v>
      </c>
      <c r="C17" s="28" t="s">
        <v>67</v>
      </c>
      <c r="D17" s="27">
        <v>2</v>
      </c>
      <c r="G17" s="30" t="str">
        <f t="shared" si="0"/>
        <v>Alternate Hierarchies in Custom Dimensions</v>
      </c>
      <c r="H17" s="30">
        <f t="shared" si="1"/>
        <v>1</v>
      </c>
      <c r="K17" s="50" t="s">
        <v>308</v>
      </c>
      <c r="L17" s="51" t="b">
        <v>1</v>
      </c>
    </row>
    <row r="18" spans="2:12" x14ac:dyDescent="0.3">
      <c r="B18" s="27" t="s">
        <v>61</v>
      </c>
      <c r="C18" s="28" t="s">
        <v>67</v>
      </c>
      <c r="D18" s="27">
        <v>1</v>
      </c>
      <c r="E18" s="30">
        <f t="shared" ref="E18" si="2">IF(C18="NO", 0, IF(AND(D18&gt;0, D18&lt;=5), 1, IF(AND(D18&gt;5,D18&lt;=10), 2, IF(AND(D18&gt;10,D18&lt;=15), 3, IF(AND(D18&gt;15,D18&lt;=20), 4, "")))))</f>
        <v>1</v>
      </c>
      <c r="G18" s="30" t="str">
        <f t="shared" si="0"/>
        <v>Additional Alias Tables</v>
      </c>
      <c r="H18" s="30">
        <f t="shared" si="1"/>
        <v>1</v>
      </c>
      <c r="K18" s="50" t="s">
        <v>309</v>
      </c>
      <c r="L18" s="51" t="b">
        <v>1</v>
      </c>
    </row>
    <row r="19" spans="2:12" x14ac:dyDescent="0.3">
      <c r="G19" s="30" t="str">
        <f t="shared" si="0"/>
        <v/>
      </c>
      <c r="H19" s="30">
        <f t="shared" si="1"/>
        <v>0</v>
      </c>
      <c r="K19" s="50" t="s">
        <v>300</v>
      </c>
      <c r="L19" s="51" t="b">
        <v>1</v>
      </c>
    </row>
    <row r="20" spans="2:12" x14ac:dyDescent="0.3">
      <c r="B20" s="32" t="s">
        <v>26</v>
      </c>
      <c r="G20" s="30" t="str">
        <f t="shared" si="0"/>
        <v>Application Features</v>
      </c>
      <c r="H20" s="30">
        <f t="shared" si="1"/>
        <v>0</v>
      </c>
      <c r="K20" s="50" t="s">
        <v>301</v>
      </c>
      <c r="L20" s="51" t="b">
        <v>1</v>
      </c>
    </row>
    <row r="21" spans="2:12" x14ac:dyDescent="0.3">
      <c r="B21" s="27" t="s">
        <v>27</v>
      </c>
      <c r="C21" s="33" t="s">
        <v>67</v>
      </c>
      <c r="D21" s="34"/>
      <c r="E21" s="30">
        <f>IF(C21="YES",1,0)</f>
        <v>1</v>
      </c>
      <c r="G21" s="30" t="str">
        <f t="shared" si="0"/>
        <v>Elimination</v>
      </c>
      <c r="H21" s="30">
        <f t="shared" si="1"/>
        <v>1</v>
      </c>
      <c r="K21" s="50" t="s">
        <v>310</v>
      </c>
      <c r="L21" s="51" t="b">
        <v>0</v>
      </c>
    </row>
    <row r="22" spans="2:12" x14ac:dyDescent="0.3">
      <c r="B22" s="27" t="s">
        <v>214</v>
      </c>
      <c r="C22" s="33" t="s">
        <v>68</v>
      </c>
      <c r="D22" s="35"/>
      <c r="G22" s="30" t="str">
        <f t="shared" si="0"/>
        <v>Custom Elimination Requirement</v>
      </c>
      <c r="H22" s="30">
        <f t="shared" si="1"/>
        <v>0</v>
      </c>
      <c r="K22" s="50" t="s">
        <v>302</v>
      </c>
      <c r="L22" s="51" t="b">
        <v>1</v>
      </c>
    </row>
    <row r="23" spans="2:12" x14ac:dyDescent="0.3">
      <c r="B23" s="27" t="s">
        <v>28</v>
      </c>
      <c r="C23" s="33" t="s">
        <v>67</v>
      </c>
      <c r="D23" s="36"/>
      <c r="E23" s="30">
        <f>IF(C23="YES",1,0) + IF(C24="NO",0,IF(AND(D24&gt;0,D24&lt;=2),1,IF(AND(D24&gt;2,D24&lt;=5),2,4))) + IF(C25="NO",0,2)</f>
        <v>4</v>
      </c>
      <c r="G23" s="30" t="str">
        <f t="shared" si="0"/>
        <v>Consolidation Journals</v>
      </c>
      <c r="H23" s="30">
        <f t="shared" si="1"/>
        <v>1</v>
      </c>
      <c r="K23" s="50" t="s">
        <v>303</v>
      </c>
      <c r="L23" s="51" t="b">
        <v>1</v>
      </c>
    </row>
    <row r="24" spans="2:12" x14ac:dyDescent="0.3">
      <c r="B24" s="27" t="s">
        <v>134</v>
      </c>
      <c r="C24" s="28" t="s">
        <v>67</v>
      </c>
      <c r="D24" s="37">
        <v>1</v>
      </c>
      <c r="G24" s="30" t="str">
        <f t="shared" si="0"/>
        <v>Journal Templates</v>
      </c>
      <c r="H24" s="30">
        <f t="shared" si="1"/>
        <v>1</v>
      </c>
      <c r="K24" s="50" t="s">
        <v>304</v>
      </c>
      <c r="L24" s="51" t="b">
        <v>1</v>
      </c>
    </row>
    <row r="25" spans="2:12" x14ac:dyDescent="0.3">
      <c r="B25" s="27" t="s">
        <v>216</v>
      </c>
      <c r="C25" s="33" t="s">
        <v>67</v>
      </c>
      <c r="D25" s="34"/>
      <c r="G25" s="30" t="str">
        <f t="shared" si="0"/>
        <v>Parent Currency Journals</v>
      </c>
      <c r="H25" s="30">
        <f t="shared" si="1"/>
        <v>1</v>
      </c>
      <c r="K25" s="50" t="s">
        <v>305</v>
      </c>
      <c r="L25" s="51" t="b">
        <v>0</v>
      </c>
    </row>
    <row r="26" spans="2:12" x14ac:dyDescent="0.3">
      <c r="B26" s="27" t="s">
        <v>29</v>
      </c>
      <c r="C26" s="33" t="s">
        <v>68</v>
      </c>
      <c r="D26" s="35"/>
      <c r="E26" s="30">
        <f>IF(C26="YES",2,0) + IF(C26="YES",IF(C27="YES",2,0),0)+ IF(C26="YES",IF(C28="YES",2,0),0) + IF(C26="YES",IF(C29="YES",2,0),0) + IF(C26="YES",IF(C30="YES",2,0),0)</f>
        <v>0</v>
      </c>
      <c r="G26" s="30" t="str">
        <f t="shared" si="0"/>
        <v>Ownership Management</v>
      </c>
      <c r="H26" s="30">
        <f t="shared" si="1"/>
        <v>0</v>
      </c>
      <c r="K26" s="50" t="s">
        <v>306</v>
      </c>
      <c r="L26" s="51" t="b">
        <v>0</v>
      </c>
    </row>
    <row r="27" spans="2:12" x14ac:dyDescent="0.3">
      <c r="B27" s="27" t="s">
        <v>135</v>
      </c>
      <c r="C27" s="33" t="s">
        <v>68</v>
      </c>
      <c r="D27" s="35"/>
      <c r="G27" s="30" t="str">
        <f t="shared" si="0"/>
        <v>Enhanced Organization by Period</v>
      </c>
      <c r="H27" s="30">
        <f t="shared" si="1"/>
        <v>0</v>
      </c>
    </row>
    <row r="28" spans="2:12" x14ac:dyDescent="0.3">
      <c r="B28" s="27" t="s">
        <v>155</v>
      </c>
      <c r="C28" s="33" t="s">
        <v>68</v>
      </c>
      <c r="D28" s="35"/>
      <c r="G28" s="30" t="str">
        <f t="shared" si="0"/>
        <v>Equity Pickup</v>
      </c>
      <c r="H28" s="30">
        <f t="shared" si="1"/>
        <v>0</v>
      </c>
    </row>
    <row r="29" spans="2:12" x14ac:dyDescent="0.3">
      <c r="B29" s="27" t="s">
        <v>156</v>
      </c>
      <c r="C29" s="33" t="s">
        <v>68</v>
      </c>
      <c r="D29" s="35"/>
      <c r="G29" s="30" t="str">
        <f t="shared" si="0"/>
        <v>Partner Elimination</v>
      </c>
      <c r="H29" s="30">
        <f t="shared" si="1"/>
        <v>0</v>
      </c>
    </row>
    <row r="30" spans="2:12" x14ac:dyDescent="0.3">
      <c r="B30" s="27" t="s">
        <v>265</v>
      </c>
      <c r="C30" s="33" t="s">
        <v>68</v>
      </c>
      <c r="D30" s="35"/>
      <c r="G30" s="30" t="str">
        <f t="shared" si="0"/>
        <v>Configurable Consolidation Rules</v>
      </c>
      <c r="H30" s="30">
        <f t="shared" si="1"/>
        <v>0</v>
      </c>
    </row>
    <row r="31" spans="2:12" x14ac:dyDescent="0.3">
      <c r="B31" s="27" t="s">
        <v>12</v>
      </c>
      <c r="C31" s="33" t="s">
        <v>67</v>
      </c>
      <c r="D31" s="35"/>
      <c r="E31" s="30">
        <f t="shared" ref="E31:E36" si="3">IF(C31="YES",2,0)</f>
        <v>2</v>
      </c>
      <c r="G31" s="30" t="str">
        <f t="shared" si="0"/>
        <v>Cash Flow</v>
      </c>
      <c r="H31" s="30">
        <f t="shared" si="1"/>
        <v>1</v>
      </c>
    </row>
    <row r="32" spans="2:12" x14ac:dyDescent="0.3">
      <c r="B32" s="27" t="s">
        <v>30</v>
      </c>
      <c r="C32" s="33" t="s">
        <v>68</v>
      </c>
      <c r="D32" s="35"/>
      <c r="E32" s="30">
        <f t="shared" si="3"/>
        <v>0</v>
      </c>
      <c r="G32" s="30" t="str">
        <f t="shared" si="0"/>
        <v>Supplemental Data Collection</v>
      </c>
      <c r="H32" s="30">
        <f t="shared" si="1"/>
        <v>0</v>
      </c>
    </row>
    <row r="33" spans="2:8" x14ac:dyDescent="0.3">
      <c r="B33" s="27" t="s">
        <v>31</v>
      </c>
      <c r="C33" s="33" t="s">
        <v>68</v>
      </c>
      <c r="D33" s="35"/>
      <c r="E33" s="30">
        <f t="shared" si="3"/>
        <v>0</v>
      </c>
      <c r="G33" s="30" t="str">
        <f t="shared" si="0"/>
        <v>Enterprise Journals</v>
      </c>
      <c r="H33" s="30">
        <f t="shared" si="1"/>
        <v>0</v>
      </c>
    </row>
    <row r="34" spans="2:8" x14ac:dyDescent="0.3">
      <c r="B34" s="27" t="s">
        <v>32</v>
      </c>
      <c r="C34" s="33" t="s">
        <v>67</v>
      </c>
      <c r="D34" s="35"/>
      <c r="E34" s="30">
        <f t="shared" si="3"/>
        <v>2</v>
      </c>
      <c r="G34" s="30" t="str">
        <f t="shared" si="0"/>
        <v>Approval Process</v>
      </c>
      <c r="H34" s="30">
        <f t="shared" si="1"/>
        <v>1</v>
      </c>
    </row>
    <row r="35" spans="2:8" x14ac:dyDescent="0.3">
      <c r="B35" s="27" t="s">
        <v>124</v>
      </c>
      <c r="C35" s="33" t="s">
        <v>67</v>
      </c>
      <c r="D35" s="35"/>
      <c r="E35" s="30">
        <f>IF(C35="YES",2,0)+IF(D10=1,0,IF(AND(D10&gt;1,D10&lt;=2),2,5))</f>
        <v>4</v>
      </c>
      <c r="G35" s="30" t="str">
        <f t="shared" si="0"/>
        <v>Historic Overrides</v>
      </c>
      <c r="H35" s="30">
        <f t="shared" si="1"/>
        <v>1</v>
      </c>
    </row>
    <row r="36" spans="2:8" x14ac:dyDescent="0.3">
      <c r="B36" s="27" t="s">
        <v>33</v>
      </c>
      <c r="C36" s="33" t="s">
        <v>68</v>
      </c>
      <c r="D36" s="35"/>
      <c r="E36" s="30">
        <f t="shared" si="3"/>
        <v>0</v>
      </c>
      <c r="G36" s="30" t="str">
        <f t="shared" si="0"/>
        <v>Task Manager</v>
      </c>
      <c r="H36" s="30">
        <f t="shared" si="1"/>
        <v>0</v>
      </c>
    </row>
    <row r="37" spans="2:8" x14ac:dyDescent="0.3">
      <c r="B37" s="27" t="s">
        <v>176</v>
      </c>
      <c r="C37" s="33" t="s">
        <v>67</v>
      </c>
      <c r="D37" s="36"/>
      <c r="E37" s="30">
        <f>IF(C37="YES",1,0)</f>
        <v>1</v>
      </c>
      <c r="G37" s="30" t="str">
        <f t="shared" si="0"/>
        <v>Audit</v>
      </c>
      <c r="H37" s="30">
        <f t="shared" si="1"/>
        <v>1</v>
      </c>
    </row>
    <row r="38" spans="2:8" x14ac:dyDescent="0.3">
      <c r="G38" s="30" t="str">
        <f t="shared" si="0"/>
        <v/>
      </c>
      <c r="H38" s="30">
        <f t="shared" si="1"/>
        <v>0</v>
      </c>
    </row>
    <row r="39" spans="2:8" x14ac:dyDescent="0.3">
      <c r="B39" s="32" t="s">
        <v>215</v>
      </c>
      <c r="G39" s="30" t="str">
        <f t="shared" si="0"/>
        <v>Application Customization</v>
      </c>
      <c r="H39" s="30">
        <f t="shared" si="1"/>
        <v>0</v>
      </c>
    </row>
    <row r="40" spans="2:8" x14ac:dyDescent="0.3">
      <c r="B40" s="27" t="s">
        <v>35</v>
      </c>
      <c r="C40" s="28" t="s">
        <v>67</v>
      </c>
      <c r="D40" s="27">
        <v>5</v>
      </c>
      <c r="E40" s="30" cm="1">
        <f t="array" ref="E40">IF(C40="YES",1,0)+IF(C40="YES",
   _xlfn.IFS(
      D40="", 0,
      D40=1, 2,
      D40&lt;=4, 5,
      D40&lt;=10, 10,
      D40&lt;=15, 20,
      D40&lt;=25, 30,
      D40&lt;=35, 40,
TRUE, 50
   ),
   0
)</f>
        <v>11</v>
      </c>
      <c r="G40" s="30" t="str">
        <f t="shared" si="0"/>
        <v>Data Forms</v>
      </c>
      <c r="H40" s="30">
        <f t="shared" si="1"/>
        <v>1</v>
      </c>
    </row>
    <row r="41" spans="2:8" x14ac:dyDescent="0.3">
      <c r="B41" s="27" t="s">
        <v>36</v>
      </c>
      <c r="C41" s="28" t="s">
        <v>68</v>
      </c>
      <c r="D41" s="27">
        <v>3</v>
      </c>
      <c r="E41" s="30" cm="1">
        <f t="array" ref="E41">IF(C41="YES",1,0)+IF(C41="YES",
   _xlfn.IFS(
      D41="", 0,
      D41=1, 4,
      D41&lt;=2, 8,
      D41&lt;=4, 10,
      TRUE, 25
   ),
   0
)</f>
        <v>0</v>
      </c>
      <c r="G41" s="30" t="str">
        <f t="shared" si="0"/>
        <v>Dashboards</v>
      </c>
      <c r="H41" s="30">
        <f t="shared" si="1"/>
        <v>0</v>
      </c>
    </row>
    <row r="42" spans="2:8" x14ac:dyDescent="0.3">
      <c r="G42" s="30" t="str">
        <f t="shared" si="0"/>
        <v/>
      </c>
      <c r="H42" s="30">
        <f t="shared" si="1"/>
        <v>0</v>
      </c>
    </row>
    <row r="43" spans="2:8" x14ac:dyDescent="0.3">
      <c r="B43" s="32" t="s">
        <v>204</v>
      </c>
      <c r="G43" s="30" t="str">
        <f t="shared" si="0"/>
        <v>Calculations</v>
      </c>
      <c r="H43" s="30">
        <f t="shared" si="1"/>
        <v>0</v>
      </c>
    </row>
    <row r="44" spans="2:8" x14ac:dyDescent="0.3">
      <c r="B44" s="27" t="s">
        <v>268</v>
      </c>
      <c r="C44" s="28" t="s">
        <v>67</v>
      </c>
      <c r="D44" s="27">
        <v>3</v>
      </c>
      <c r="E44" s="30" cm="1">
        <f t="array" ref="E44">IF(C44="YES",1,0)+IF(C44="YES",
   _xlfn.IFS(
      D44="", 0,
      D44=1, 2,
      D44&lt;=2, 4,
      D44&lt;=5, 6,
      TRUE, 10
   ),
   0
)</f>
        <v>7</v>
      </c>
      <c r="G44" s="30" t="str">
        <f t="shared" si="0"/>
        <v>Business Rules</v>
      </c>
      <c r="H44" s="30">
        <f t="shared" si="1"/>
        <v>1</v>
      </c>
    </row>
    <row r="45" spans="2:8" x14ac:dyDescent="0.3">
      <c r="B45" s="27" t="s">
        <v>34</v>
      </c>
      <c r="C45" s="28" t="s">
        <v>67</v>
      </c>
      <c r="D45" s="27">
        <v>20</v>
      </c>
      <c r="E45" s="30" cm="1">
        <f t="array" ref="E45">IF(C45="YES",1,0)+IF(C45="YES",
   _xlfn.IFS(
      D45="", 0,
      D45=5, 2,
      D45&lt;=10, 4,
      D45&lt;=15, 6,
      TRUE, 10
   ),
   0
)</f>
        <v>11</v>
      </c>
      <c r="G45" s="30" t="str">
        <f t="shared" si="0"/>
        <v>Member Formula</v>
      </c>
      <c r="H45" s="30">
        <f t="shared" si="1"/>
        <v>1</v>
      </c>
    </row>
    <row r="46" spans="2:8" x14ac:dyDescent="0.3">
      <c r="B46" s="27" t="s">
        <v>217</v>
      </c>
      <c r="C46" s="28" t="s">
        <v>67</v>
      </c>
      <c r="D46" s="36"/>
      <c r="E46" s="30">
        <f>IF(C46="YES",2,0)</f>
        <v>2</v>
      </c>
      <c r="G46" s="30" t="str">
        <f t="shared" si="0"/>
        <v>Ratios</v>
      </c>
      <c r="H46" s="30">
        <f t="shared" si="1"/>
        <v>1</v>
      </c>
    </row>
    <row r="47" spans="2:8" x14ac:dyDescent="0.3">
      <c r="B47" s="27" t="s">
        <v>269</v>
      </c>
      <c r="C47" s="33" t="s">
        <v>68</v>
      </c>
      <c r="D47" s="27"/>
      <c r="E47" s="30">
        <f t="shared" ref="E47" si="4">IF(C47="YES",2,0)</f>
        <v>0</v>
      </c>
      <c r="G47" s="30" t="str">
        <f t="shared" si="0"/>
        <v>Custom KPIs</v>
      </c>
      <c r="H47" s="30">
        <f t="shared" si="1"/>
        <v>0</v>
      </c>
    </row>
    <row r="48" spans="2:8" x14ac:dyDescent="0.3">
      <c r="G48" s="30" t="str">
        <f t="shared" si="0"/>
        <v/>
      </c>
      <c r="H48" s="30">
        <f t="shared" si="1"/>
        <v>0</v>
      </c>
    </row>
    <row r="49" spans="2:8" x14ac:dyDescent="0.3">
      <c r="B49" s="32" t="s">
        <v>37</v>
      </c>
      <c r="F49" s="30">
        <f>SUM(E50:E51)</f>
        <v>6</v>
      </c>
      <c r="G49" s="30" t="str">
        <f t="shared" si="0"/>
        <v>Security</v>
      </c>
      <c r="H49" s="30">
        <f t="shared" si="1"/>
        <v>0</v>
      </c>
    </row>
    <row r="50" spans="2:8" x14ac:dyDescent="0.3">
      <c r="B50" s="27" t="s">
        <v>222</v>
      </c>
      <c r="C50" s="28" t="s">
        <v>67</v>
      </c>
      <c r="D50" s="27">
        <v>1</v>
      </c>
      <c r="E50" s="30" cm="1">
        <f t="array" ref="E50">IF(C50="YES",
   _xlfn.IFS(
      D50="", 0,
      D50=1, 2,
      D50&lt;=2, 4,
      D50&lt;=5, 6,
      TRUE, 10
   ),
   0
)</f>
        <v>2</v>
      </c>
      <c r="G50" s="30" t="str">
        <f t="shared" si="0"/>
        <v>Secured Dimensions</v>
      </c>
      <c r="H50" s="30">
        <f t="shared" si="1"/>
        <v>1</v>
      </c>
    </row>
    <row r="51" spans="2:8" x14ac:dyDescent="0.3">
      <c r="B51" s="27" t="s">
        <v>38</v>
      </c>
      <c r="C51" s="28" t="s">
        <v>67</v>
      </c>
      <c r="D51" s="27">
        <v>20</v>
      </c>
      <c r="E51" s="30" cm="1">
        <f t="array" ref="E51">IF(C51="YES",
   _xlfn.IFS(
      D51="", 0,
      D51=10, 2,
      D51&lt;=20, 4,
      D51&lt;=50, 6,
      TRUE, 10
   ),
   0
)</f>
        <v>4</v>
      </c>
      <c r="G51" s="30" t="str">
        <f t="shared" si="0"/>
        <v>Number of Users</v>
      </c>
      <c r="H51" s="30">
        <f t="shared" si="1"/>
        <v>1</v>
      </c>
    </row>
    <row r="52" spans="2:8" x14ac:dyDescent="0.3">
      <c r="G52" s="30" t="str">
        <f t="shared" si="0"/>
        <v/>
      </c>
      <c r="H52" s="30">
        <f t="shared" si="1"/>
        <v>0</v>
      </c>
    </row>
    <row r="53" spans="2:8" x14ac:dyDescent="0.3">
      <c r="B53" s="32" t="s">
        <v>39</v>
      </c>
      <c r="F53" s="30">
        <f>SUM(E54:E56)</f>
        <v>12</v>
      </c>
      <c r="G53" s="30" t="str">
        <f t="shared" si="0"/>
        <v>Historical Data</v>
      </c>
      <c r="H53" s="30">
        <f t="shared" si="1"/>
        <v>0</v>
      </c>
    </row>
    <row r="54" spans="2:8" x14ac:dyDescent="0.3">
      <c r="B54" s="27" t="s">
        <v>221</v>
      </c>
      <c r="C54" s="28" t="s">
        <v>67</v>
      </c>
      <c r="D54" s="38">
        <v>2</v>
      </c>
      <c r="E54" s="30" cm="1">
        <f t="array" ref="E54">IF(C54="YES",
   _xlfn.IFS(
      D54="", 0,
      D54=1, 2,
      D54&lt;=2, 4,
      D54&lt;=5, 6,
      TRUE, 10
   ),
   0
)</f>
        <v>4</v>
      </c>
      <c r="G54" s="30" t="str">
        <f t="shared" si="0"/>
        <v>Historical Data Validation</v>
      </c>
      <c r="H54" s="30">
        <f t="shared" si="1"/>
        <v>1</v>
      </c>
    </row>
    <row r="55" spans="2:8" x14ac:dyDescent="0.3">
      <c r="B55" s="27" t="s">
        <v>120</v>
      </c>
      <c r="C55" s="33" t="s">
        <v>67</v>
      </c>
      <c r="D55" s="34"/>
      <c r="E55" s="30">
        <f>IF(C55="NO",0,IF(C7="NO", 0, IF(AND(D7&gt;0, D7&lt;=2), 4, IF(AND(D7&gt;2,D7&lt;=4), 6, IF(AND(D7&gt;4,D7&lt;=6), 8, IF(AND(D7&gt;6,D7&lt;=8), 10, 15))))))</f>
        <v>4</v>
      </c>
      <c r="G55" s="30" t="str">
        <f t="shared" si="0"/>
        <v>Data Validation for Account Alt Hierarchies</v>
      </c>
      <c r="H55" s="30">
        <f t="shared" si="1"/>
        <v>1</v>
      </c>
    </row>
    <row r="56" spans="2:8" x14ac:dyDescent="0.3">
      <c r="B56" s="27" t="s">
        <v>121</v>
      </c>
      <c r="C56" s="33" t="s">
        <v>67</v>
      </c>
      <c r="D56" s="35"/>
      <c r="E56" s="30">
        <f>IF(C56="NO",0,IF(C13="NO", 0, IF(AND(D13&gt;0, D13&lt;=2), 4, IF(AND(D13&gt;2,D13&lt;=4), 6, IF(AND(D13&gt;4,D13&lt;=6), 8, IF(AND(D13&gt;6,D13&lt;=8), 10, 15))))))</f>
        <v>4</v>
      </c>
      <c r="G56" s="30" t="str">
        <f t="shared" si="0"/>
        <v>Data Validation for Entity Alt Hierarchies</v>
      </c>
      <c r="H56" s="30">
        <f t="shared" si="1"/>
        <v>1</v>
      </c>
    </row>
    <row r="57" spans="2:8" x14ac:dyDescent="0.3">
      <c r="B57" s="27" t="s">
        <v>202</v>
      </c>
      <c r="C57" s="33" t="s">
        <v>67</v>
      </c>
      <c r="D57" s="36"/>
      <c r="E57" s="30">
        <f>IF(C57="YES",2,0)</f>
        <v>2</v>
      </c>
      <c r="G57" s="30" t="str">
        <f t="shared" si="0"/>
        <v>Historical Journal Conversion</v>
      </c>
      <c r="H57" s="30">
        <f t="shared" si="1"/>
        <v>1</v>
      </c>
    </row>
    <row r="58" spans="2:8" x14ac:dyDescent="0.3">
      <c r="C58" s="40"/>
      <c r="G58" s="30" t="str">
        <f t="shared" si="0"/>
        <v/>
      </c>
      <c r="H58" s="30">
        <f t="shared" si="1"/>
        <v>0</v>
      </c>
    </row>
    <row r="59" spans="2:8" x14ac:dyDescent="0.3">
      <c r="B59" s="32" t="s">
        <v>40</v>
      </c>
      <c r="F59" s="30">
        <f>SUM(E60:E64)</f>
        <v>8</v>
      </c>
      <c r="G59" s="30" t="str">
        <f t="shared" si="0"/>
        <v>Integrations</v>
      </c>
      <c r="H59" s="30">
        <f t="shared" si="1"/>
        <v>0</v>
      </c>
    </row>
    <row r="60" spans="2:8" x14ac:dyDescent="0.3">
      <c r="B60" s="27" t="s">
        <v>41</v>
      </c>
      <c r="C60" s="28" t="s">
        <v>68</v>
      </c>
      <c r="D60" s="27">
        <v>2</v>
      </c>
      <c r="E60" s="30">
        <f>IF(C60="NO",0,IF(AND(D60&gt;0, D60&lt;=2), 2, IF(AND(D60&gt;2,D60&lt;=4), 4, IF(AND(D60&gt;4,D60&lt;=6), 6, IF(AND(D60&gt;6,D60&lt;=8), 10, 15)))))</f>
        <v>0</v>
      </c>
      <c r="G60" s="30" t="str">
        <f t="shared" si="0"/>
        <v>Files Based Loads</v>
      </c>
      <c r="H60" s="30">
        <f t="shared" si="1"/>
        <v>0</v>
      </c>
    </row>
    <row r="61" spans="2:8" x14ac:dyDescent="0.3">
      <c r="B61" s="27" t="s">
        <v>45</v>
      </c>
      <c r="C61" s="28" t="s">
        <v>67</v>
      </c>
      <c r="D61" s="27">
        <v>1</v>
      </c>
      <c r="E61" s="30">
        <f>IF(C61="NO",0,IF(AND(D61&gt;0, D61&lt;=2), 4, IF(AND(D61&gt;2,D61&lt;=4), 6, IF(AND(D61&gt;4,D61&lt;=6), 8, IF(AND(D61&gt;6,D61&lt;=8), 10, 15)))))</f>
        <v>4</v>
      </c>
      <c r="G61" s="30" t="str">
        <f t="shared" si="0"/>
        <v>Direct Connect Integrations</v>
      </c>
      <c r="H61" s="30">
        <f t="shared" si="1"/>
        <v>1</v>
      </c>
    </row>
    <row r="62" spans="2:8" x14ac:dyDescent="0.3">
      <c r="B62" s="27" t="s">
        <v>42</v>
      </c>
      <c r="C62" s="28" t="s">
        <v>68</v>
      </c>
      <c r="D62" s="27"/>
      <c r="E62" s="30">
        <f>IF(C62="NO",0,IF(AND(D62&gt;0, D62&lt;=2), 4, IF(AND(D62&gt;2,D62&lt;=4), 6, IF(AND(D62&gt;4,D62&lt;=6), 8, IF(AND(D62&gt;6,D62&lt;=8), 10, 15)))))</f>
        <v>0</v>
      </c>
      <c r="G62" s="30" t="str">
        <f t="shared" si="0"/>
        <v>Outbound Integrations</v>
      </c>
      <c r="H62" s="30">
        <f t="shared" si="1"/>
        <v>0</v>
      </c>
    </row>
    <row r="63" spans="2:8" x14ac:dyDescent="0.3">
      <c r="B63" s="27" t="s">
        <v>43</v>
      </c>
      <c r="C63" s="28" t="s">
        <v>68</v>
      </c>
      <c r="D63" s="27">
        <v>1</v>
      </c>
      <c r="E63" s="30">
        <f>IF(C63="NO",0,IF(AND(D63&gt;0, D63&lt;=2), 4, IF(AND(D63&gt;2,D63&lt;=4), 6, IF(AND(D63&gt;4,D63&lt;=6), 8, IF(AND(D63&gt;6,D63&lt;=8), 10, 15)))))</f>
        <v>0</v>
      </c>
      <c r="G63" s="30" t="str">
        <f t="shared" ref="G63:G102" si="5">TRIM(B63)</f>
        <v>Pipeline</v>
      </c>
      <c r="H63" s="30">
        <f t="shared" ref="H63:H102" si="6">IF(C63="YES",1,0)</f>
        <v>0</v>
      </c>
    </row>
    <row r="64" spans="2:8" x14ac:dyDescent="0.3">
      <c r="B64" s="27" t="s">
        <v>44</v>
      </c>
      <c r="C64" s="28" t="s">
        <v>67</v>
      </c>
      <c r="D64" s="27">
        <v>2</v>
      </c>
      <c r="E64" s="30">
        <f>IF(C64="NO",0,IF(AND(D64&gt;0, D64&lt;=2), 4, IF(AND(D64&gt;2,D64&lt;=4), 6, IF(AND(D64&gt;4,D64&lt;=6), 8, IF(AND(D64&gt;6,D64&lt;=8), 10, 15)))))</f>
        <v>4</v>
      </c>
      <c r="G64" s="30" t="str">
        <f t="shared" si="5"/>
        <v>Custom Scripting</v>
      </c>
      <c r="H64" s="30">
        <f t="shared" si="6"/>
        <v>1</v>
      </c>
    </row>
    <row r="65" spans="2:8" x14ac:dyDescent="0.3">
      <c r="G65" s="30" t="str">
        <f t="shared" si="5"/>
        <v/>
      </c>
      <c r="H65" s="30">
        <f t="shared" si="6"/>
        <v>0</v>
      </c>
    </row>
    <row r="66" spans="2:8" x14ac:dyDescent="0.3">
      <c r="B66" s="32" t="s">
        <v>46</v>
      </c>
      <c r="C66" s="40"/>
      <c r="G66" s="30" t="str">
        <f t="shared" si="5"/>
        <v>Reporting</v>
      </c>
      <c r="H66" s="30">
        <f t="shared" si="6"/>
        <v>0</v>
      </c>
    </row>
    <row r="67" spans="2:8" x14ac:dyDescent="0.3">
      <c r="B67" s="27" t="s">
        <v>47</v>
      </c>
      <c r="C67" s="28" t="s">
        <v>67</v>
      </c>
      <c r="D67" s="27">
        <v>5</v>
      </c>
      <c r="E67" s="30">
        <f>IF(C67="NO",0,IF(AND(D67&gt;0, D67&lt;=5), 4, IF(AND(D67&gt;5,D67&lt;=10), 6, IF(AND(D67&gt;10,D67&lt;=15), 8, IF(AND(D67&gt;15,D67&lt;=25), 10, 15)))))</f>
        <v>4</v>
      </c>
      <c r="G67" s="30" t="str">
        <f t="shared" si="5"/>
        <v>Management Reports</v>
      </c>
      <c r="H67" s="30">
        <f t="shared" si="6"/>
        <v>1</v>
      </c>
    </row>
    <row r="68" spans="2:8" x14ac:dyDescent="0.3">
      <c r="B68" s="27" t="s">
        <v>48</v>
      </c>
      <c r="C68" s="28" t="s">
        <v>68</v>
      </c>
      <c r="D68" s="39"/>
      <c r="E68" s="30">
        <f t="shared" ref="E68:E70" si="7">IF(C68="NO",0,IF(AND(D68&gt;0, D68&lt;=5), 4, IF(AND(D68&gt;5,D68&lt;=10), 6, IF(AND(D68&gt;10,D68&lt;=15), 8, IF(AND(D68&gt;15,D68&lt;=25), 10, 15)))))</f>
        <v>0</v>
      </c>
      <c r="G68" s="30" t="str">
        <f t="shared" si="5"/>
        <v>Consolidation Reports</v>
      </c>
      <c r="H68" s="30">
        <f t="shared" si="6"/>
        <v>0</v>
      </c>
    </row>
    <row r="69" spans="2:8" x14ac:dyDescent="0.3">
      <c r="B69" s="27" t="s">
        <v>49</v>
      </c>
      <c r="C69" s="28" t="s">
        <v>67</v>
      </c>
      <c r="D69" s="39">
        <v>1</v>
      </c>
      <c r="E69" s="30">
        <f>IF(C69="NO",0,IF(AND(D69&gt;0, D69&lt;=5), 2, IF(AND(D69&gt;5,D69&lt;=10), 4, IF(AND(D69&gt;10,D69&lt;=15), 6, IF(AND(D69&gt;15,D69&lt;=25), 8, 10)))))</f>
        <v>2</v>
      </c>
      <c r="G69" s="30" t="str">
        <f t="shared" si="5"/>
        <v>Consolidation Journal Reports</v>
      </c>
      <c r="H69" s="30">
        <f t="shared" si="6"/>
        <v>1</v>
      </c>
    </row>
    <row r="70" spans="2:8" x14ac:dyDescent="0.3">
      <c r="B70" s="27" t="s">
        <v>50</v>
      </c>
      <c r="C70" s="28" t="s">
        <v>67</v>
      </c>
      <c r="D70" s="39">
        <v>1</v>
      </c>
      <c r="E70" s="30">
        <f t="shared" si="7"/>
        <v>4</v>
      </c>
      <c r="G70" s="30" t="str">
        <f t="shared" si="5"/>
        <v>Intercompany Reports</v>
      </c>
      <c r="H70" s="30">
        <f t="shared" si="6"/>
        <v>1</v>
      </c>
    </row>
    <row r="71" spans="2:8" x14ac:dyDescent="0.3">
      <c r="B71" s="27" t="s">
        <v>51</v>
      </c>
      <c r="C71" s="28" t="s">
        <v>68</v>
      </c>
      <c r="D71" s="39"/>
      <c r="E71" s="30">
        <f>IF(C71="NO",0,IF(AND(D71&gt;0, D71&lt;=5), 2, IF(AND(D71&gt;5,D71&lt;=10), 4, IF(AND(D71&gt;10,D71&lt;=15), 6, IF(AND(D71&gt;15,D71&lt;=25), 8, 10)))))</f>
        <v>0</v>
      </c>
      <c r="G71" s="30" t="str">
        <f t="shared" si="5"/>
        <v>Task Manager Reports</v>
      </c>
      <c r="H71" s="30">
        <f t="shared" si="6"/>
        <v>0</v>
      </c>
    </row>
    <row r="72" spans="2:8" x14ac:dyDescent="0.3">
      <c r="B72" s="27" t="s">
        <v>52</v>
      </c>
      <c r="C72" s="28" t="s">
        <v>68</v>
      </c>
      <c r="D72" s="39"/>
      <c r="E72" s="30">
        <f>IF(C72="NO",0,IF(AND(D72&gt;0, D72&lt;=5), 2, IF(AND(D72&gt;5,D72&lt;=10), 4, IF(AND(D72&gt;10,D72&lt;=15), 6, IF(AND(D72&gt;15,D72&lt;=25), 8, 10)))))</f>
        <v>0</v>
      </c>
      <c r="G72" s="30" t="str">
        <f t="shared" si="5"/>
        <v>Enterprise Journal Reports</v>
      </c>
      <c r="H72" s="30">
        <f t="shared" si="6"/>
        <v>0</v>
      </c>
    </row>
    <row r="73" spans="2:8" x14ac:dyDescent="0.3">
      <c r="B73" s="27" t="s">
        <v>141</v>
      </c>
      <c r="C73" s="28" t="s">
        <v>67</v>
      </c>
      <c r="D73" s="39">
        <v>3</v>
      </c>
      <c r="E73" s="30">
        <f>IF(C73="NO",0,IF(AND(D73&gt;0, D73&lt;=5), 2, IF(AND(D73&gt;5,D73&lt;=10), 4, IF(AND(D73&gt;10,D73&lt;=15), 6, IF(AND(D73&gt;15,D73&lt;=25), 8, 10)))))</f>
        <v>2</v>
      </c>
      <c r="G73" s="30" t="str">
        <f t="shared" si="5"/>
        <v>Smart View Reports</v>
      </c>
      <c r="H73" s="30">
        <f t="shared" si="6"/>
        <v>1</v>
      </c>
    </row>
    <row r="74" spans="2:8" x14ac:dyDescent="0.3">
      <c r="G74" s="30" t="str">
        <f t="shared" si="5"/>
        <v/>
      </c>
      <c r="H74" s="30">
        <f t="shared" si="6"/>
        <v>0</v>
      </c>
    </row>
    <row r="75" spans="2:8" x14ac:dyDescent="0.3">
      <c r="B75" s="32" t="s">
        <v>22</v>
      </c>
      <c r="F75" s="30">
        <f>SUM(E76:E79)</f>
        <v>4</v>
      </c>
      <c r="G75" s="30" t="str">
        <f t="shared" si="5"/>
        <v>Automations</v>
      </c>
      <c r="H75" s="30">
        <f t="shared" si="6"/>
        <v>0</v>
      </c>
    </row>
    <row r="76" spans="2:8" x14ac:dyDescent="0.3">
      <c r="B76" s="27" t="s">
        <v>59</v>
      </c>
      <c r="C76" s="33" t="s">
        <v>67</v>
      </c>
      <c r="D76" s="34"/>
      <c r="E76" s="30">
        <f>IF(C76="YES",2,0)</f>
        <v>2</v>
      </c>
      <c r="G76" s="30" t="str">
        <f t="shared" si="5"/>
        <v>Automated Data loads</v>
      </c>
      <c r="H76" s="30">
        <f t="shared" si="6"/>
        <v>1</v>
      </c>
    </row>
    <row r="77" spans="2:8" x14ac:dyDescent="0.3">
      <c r="B77" s="27" t="s">
        <v>23</v>
      </c>
      <c r="C77" s="33" t="s">
        <v>67</v>
      </c>
      <c r="D77" s="35"/>
      <c r="E77" s="30">
        <f>IF(C77="YES",2,0)</f>
        <v>2</v>
      </c>
      <c r="G77" s="30" t="str">
        <f t="shared" si="5"/>
        <v>Automated Consolidations</v>
      </c>
      <c r="H77" s="30">
        <f t="shared" si="6"/>
        <v>1</v>
      </c>
    </row>
    <row r="78" spans="2:8" x14ac:dyDescent="0.3">
      <c r="B78" s="27" t="s">
        <v>60</v>
      </c>
      <c r="C78" s="33" t="s">
        <v>68</v>
      </c>
      <c r="D78" s="35"/>
      <c r="E78" s="30">
        <f>IF(C78="YES",2,0)</f>
        <v>0</v>
      </c>
      <c r="G78" s="30" t="str">
        <f t="shared" si="5"/>
        <v>Backup and Archival</v>
      </c>
      <c r="H78" s="30">
        <f t="shared" si="6"/>
        <v>0</v>
      </c>
    </row>
    <row r="79" spans="2:8" x14ac:dyDescent="0.3">
      <c r="B79" s="27" t="s">
        <v>24</v>
      </c>
      <c r="C79" s="33" t="s">
        <v>68</v>
      </c>
      <c r="D79" s="36"/>
      <c r="E79" s="30">
        <f>IF(C79="YES",2,0)</f>
        <v>0</v>
      </c>
      <c r="G79" s="30" t="str">
        <f t="shared" si="5"/>
        <v>Metadata Import</v>
      </c>
      <c r="H79" s="30">
        <f t="shared" si="6"/>
        <v>0</v>
      </c>
    </row>
    <row r="81" spans="2:8" x14ac:dyDescent="0.3">
      <c r="B81" s="32" t="s">
        <v>53</v>
      </c>
      <c r="C81" s="40"/>
      <c r="G81" s="30" t="str">
        <f t="shared" si="5"/>
        <v>Testing/Training</v>
      </c>
      <c r="H81" s="30">
        <f t="shared" si="6"/>
        <v>0</v>
      </c>
    </row>
    <row r="82" spans="2:8" x14ac:dyDescent="0.3">
      <c r="B82" s="27" t="s">
        <v>54</v>
      </c>
      <c r="C82" s="33" t="s">
        <v>67</v>
      </c>
      <c r="D82" s="34"/>
      <c r="E82" s="30">
        <f t="shared" ref="E82:E99" si="8">IF(C82="YES",1,0)</f>
        <v>1</v>
      </c>
      <c r="G82" s="30" t="str">
        <f t="shared" si="5"/>
        <v>Unit Testing</v>
      </c>
      <c r="H82" s="30">
        <f t="shared" si="6"/>
        <v>1</v>
      </c>
    </row>
    <row r="83" spans="2:8" x14ac:dyDescent="0.3">
      <c r="B83" s="27" t="s">
        <v>55</v>
      </c>
      <c r="C83" s="33" t="s">
        <v>67</v>
      </c>
      <c r="D83" s="35"/>
      <c r="E83" s="30">
        <f>IF(C83="YES",2,0)</f>
        <v>2</v>
      </c>
      <c r="G83" s="30" t="str">
        <f t="shared" si="5"/>
        <v>UAT</v>
      </c>
      <c r="H83" s="30">
        <f t="shared" si="6"/>
        <v>1</v>
      </c>
    </row>
    <row r="84" spans="2:8" x14ac:dyDescent="0.3">
      <c r="B84" s="27" t="s">
        <v>56</v>
      </c>
      <c r="C84" s="33" t="s">
        <v>67</v>
      </c>
      <c r="D84" s="36"/>
      <c r="E84" s="30">
        <f>IF(C84="YES",2,0)</f>
        <v>2</v>
      </c>
      <c r="G84" s="30" t="str">
        <f t="shared" si="5"/>
        <v>SIT</v>
      </c>
      <c r="H84" s="30">
        <f t="shared" si="6"/>
        <v>1</v>
      </c>
    </row>
    <row r="85" spans="2:8" x14ac:dyDescent="0.3">
      <c r="B85" s="27" t="s">
        <v>57</v>
      </c>
      <c r="C85" s="28" t="s">
        <v>67</v>
      </c>
      <c r="D85" s="39">
        <v>3</v>
      </c>
      <c r="E85" s="30">
        <f>IF(C85="NO",0,IF(D85=1, 2, IF(D85=2, 4, IF(D85=3, 6, IF(D85=4, 8, 10)))))</f>
        <v>6</v>
      </c>
      <c r="G85" s="30" t="str">
        <f t="shared" si="5"/>
        <v>Parallel Testing</v>
      </c>
      <c r="H85" s="30">
        <f t="shared" si="6"/>
        <v>1</v>
      </c>
    </row>
    <row r="86" spans="2:8" x14ac:dyDescent="0.3">
      <c r="B86" s="27" t="s">
        <v>58</v>
      </c>
      <c r="C86" s="28" t="s">
        <v>67</v>
      </c>
      <c r="D86" s="29"/>
      <c r="E86" s="30">
        <f>IF(C86="YES",4,0)</f>
        <v>4</v>
      </c>
      <c r="G86" s="30" t="str">
        <f t="shared" si="5"/>
        <v>User Training</v>
      </c>
      <c r="H86" s="30">
        <f t="shared" si="6"/>
        <v>1</v>
      </c>
    </row>
    <row r="88" spans="2:8" x14ac:dyDescent="0.3">
      <c r="B88" s="32" t="s">
        <v>257</v>
      </c>
      <c r="G88" s="30" t="str">
        <f t="shared" si="5"/>
        <v>Transition</v>
      </c>
      <c r="H88" s="30">
        <f t="shared" si="6"/>
        <v>0</v>
      </c>
    </row>
    <row r="89" spans="2:8" x14ac:dyDescent="0.3">
      <c r="B89" s="27" t="s">
        <v>259</v>
      </c>
      <c r="C89" s="33" t="s">
        <v>67</v>
      </c>
      <c r="D89" s="34"/>
      <c r="E89" s="30">
        <f>IF(C89="YES",1,0)</f>
        <v>1</v>
      </c>
      <c r="G89" s="30" t="str">
        <f t="shared" si="5"/>
        <v>Go Live</v>
      </c>
      <c r="H89" s="30">
        <f t="shared" si="6"/>
        <v>1</v>
      </c>
    </row>
    <row r="90" spans="2:8" x14ac:dyDescent="0.3">
      <c r="B90" s="27" t="s">
        <v>260</v>
      </c>
      <c r="C90" s="33" t="s">
        <v>67</v>
      </c>
      <c r="D90" s="36"/>
      <c r="E90" s="30">
        <f>IF(C90="YES",1,0)</f>
        <v>1</v>
      </c>
      <c r="G90" s="30" t="str">
        <f t="shared" si="5"/>
        <v>Hypercare</v>
      </c>
      <c r="H90" s="30">
        <f t="shared" si="6"/>
        <v>1</v>
      </c>
    </row>
    <row r="92" spans="2:8" x14ac:dyDescent="0.3">
      <c r="B92" s="32" t="s">
        <v>62</v>
      </c>
      <c r="G92" s="30" t="str">
        <f t="shared" si="5"/>
        <v>Documentations</v>
      </c>
      <c r="H92" s="30">
        <f t="shared" si="6"/>
        <v>0</v>
      </c>
    </row>
    <row r="93" spans="2:8" x14ac:dyDescent="0.3">
      <c r="B93" s="27" t="s">
        <v>63</v>
      </c>
      <c r="C93" s="33" t="s">
        <v>67</v>
      </c>
      <c r="D93" s="34"/>
      <c r="E93" s="30">
        <f t="shared" si="8"/>
        <v>1</v>
      </c>
      <c r="G93" s="30" t="str">
        <f t="shared" si="5"/>
        <v>RTM</v>
      </c>
      <c r="H93" s="30">
        <f t="shared" si="6"/>
        <v>1</v>
      </c>
    </row>
    <row r="94" spans="2:8" x14ac:dyDescent="0.3">
      <c r="B94" s="27" t="s">
        <v>64</v>
      </c>
      <c r="C94" s="33" t="s">
        <v>67</v>
      </c>
      <c r="D94" s="35"/>
      <c r="E94" s="30">
        <f t="shared" si="8"/>
        <v>1</v>
      </c>
      <c r="G94" s="30" t="str">
        <f t="shared" si="5"/>
        <v>Design Document</v>
      </c>
      <c r="H94" s="30">
        <f t="shared" si="6"/>
        <v>1</v>
      </c>
    </row>
    <row r="95" spans="2:8" x14ac:dyDescent="0.3">
      <c r="B95" s="27" t="s">
        <v>66</v>
      </c>
      <c r="C95" s="33" t="s">
        <v>67</v>
      </c>
      <c r="D95" s="36"/>
      <c r="E95" s="30">
        <f t="shared" si="8"/>
        <v>1</v>
      </c>
      <c r="G95" s="30" t="str">
        <f t="shared" si="5"/>
        <v>System Configuration Document</v>
      </c>
      <c r="H95" s="30">
        <f t="shared" si="6"/>
        <v>1</v>
      </c>
    </row>
    <row r="96" spans="2:8" x14ac:dyDescent="0.3">
      <c r="G96" s="30" t="str">
        <f t="shared" si="5"/>
        <v/>
      </c>
    </row>
    <row r="97" spans="2:8" x14ac:dyDescent="0.3">
      <c r="B97" s="32" t="s">
        <v>137</v>
      </c>
      <c r="G97" s="30" t="str">
        <f t="shared" si="5"/>
        <v>Change Management</v>
      </c>
      <c r="H97" s="30">
        <f t="shared" si="6"/>
        <v>0</v>
      </c>
    </row>
    <row r="98" spans="2:8" x14ac:dyDescent="0.3">
      <c r="B98" s="27" t="s">
        <v>65</v>
      </c>
      <c r="C98" s="33" t="s">
        <v>67</v>
      </c>
      <c r="D98" s="34"/>
      <c r="E98" s="30">
        <f t="shared" si="8"/>
        <v>1</v>
      </c>
      <c r="G98" s="30" t="str">
        <f t="shared" si="5"/>
        <v>Admin Desktop Procedures</v>
      </c>
      <c r="H98" s="30">
        <f t="shared" si="6"/>
        <v>1</v>
      </c>
    </row>
    <row r="99" spans="2:8" x14ac:dyDescent="0.3">
      <c r="B99" s="27" t="s">
        <v>220</v>
      </c>
      <c r="C99" s="33" t="s">
        <v>67</v>
      </c>
      <c r="D99" s="36"/>
      <c r="E99" s="30">
        <f t="shared" si="8"/>
        <v>1</v>
      </c>
      <c r="G99" s="30" t="str">
        <f t="shared" si="5"/>
        <v>End User Desktop Procedures</v>
      </c>
      <c r="H99" s="30">
        <f t="shared" si="6"/>
        <v>1</v>
      </c>
    </row>
    <row r="100" spans="2:8" x14ac:dyDescent="0.3">
      <c r="G100" s="30" t="str">
        <f t="shared" si="5"/>
        <v/>
      </c>
    </row>
    <row r="101" spans="2:8" x14ac:dyDescent="0.3">
      <c r="B101" s="32" t="s">
        <v>154</v>
      </c>
      <c r="G101" s="30" t="str">
        <f t="shared" si="5"/>
        <v>Project Management</v>
      </c>
      <c r="H101" s="30">
        <f t="shared" si="6"/>
        <v>0</v>
      </c>
    </row>
    <row r="102" spans="2:8" x14ac:dyDescent="0.3">
      <c r="B102" s="27" t="s">
        <v>160</v>
      </c>
      <c r="C102" s="28" t="s">
        <v>67</v>
      </c>
      <c r="D102" s="29"/>
      <c r="E102" s="30">
        <v>1</v>
      </c>
      <c r="G102" s="30" t="str">
        <f t="shared" si="5"/>
        <v>Project Management</v>
      </c>
      <c r="H102" s="30">
        <f t="shared" si="6"/>
        <v>1</v>
      </c>
    </row>
    <row r="103" spans="2:8" x14ac:dyDescent="0.3">
      <c r="E103" s="30">
        <f>SUM(E6:E102)</f>
        <v>130</v>
      </c>
    </row>
    <row r="105" spans="2:8" x14ac:dyDescent="0.3">
      <c r="C105" s="40"/>
      <c r="H105" s="41"/>
    </row>
    <row r="108" spans="2:8" x14ac:dyDescent="0.3">
      <c r="H108" s="41"/>
    </row>
    <row r="116" spans="3:3" x14ac:dyDescent="0.3">
      <c r="C116" s="40"/>
    </row>
    <row r="121" spans="3:3" x14ac:dyDescent="0.3">
      <c r="C121" s="40"/>
    </row>
    <row r="124" spans="3:3" x14ac:dyDescent="0.3">
      <c r="C124" s="40"/>
    </row>
  </sheetData>
  <conditionalFormatting sqref="A7:C8 J7:XFD8 E7:F8">
    <cfRule type="expression" dxfId="9" priority="12">
      <formula>$C$6&lt;&gt;"YES"</formula>
    </cfRule>
  </conditionalFormatting>
  <conditionalFormatting sqref="A13:C13 J13 E13:F13 L13:XFD13">
    <cfRule type="expression" dxfId="8" priority="11">
      <formula>$C$11&lt;&gt;"YES"</formula>
    </cfRule>
  </conditionalFormatting>
  <conditionalFormatting sqref="A17:C17 J17:XFD17 E17:F17 K18">
    <cfRule type="expression" dxfId="7" priority="10">
      <formula>$C$16&lt;&gt;"YES"</formula>
    </cfRule>
  </conditionalFormatting>
  <conditionalFormatting sqref="A24:C25 I24:XFD25 E24:F25 K25:L26">
    <cfRule type="expression" dxfId="6" priority="7">
      <formula>$C$23&lt;&gt;"YES"</formula>
    </cfRule>
  </conditionalFormatting>
  <conditionalFormatting sqref="D7:D8">
    <cfRule type="expression" dxfId="5" priority="6">
      <formula>$C$6&lt;&gt;"YES"</formula>
    </cfRule>
  </conditionalFormatting>
  <conditionalFormatting sqref="D13">
    <cfRule type="expression" dxfId="4" priority="5">
      <formula>$C$11&lt;&gt;"YES"</formula>
    </cfRule>
  </conditionalFormatting>
  <conditionalFormatting sqref="D17">
    <cfRule type="expression" dxfId="3" priority="4">
      <formula>$C$16&lt;&gt;"YES"</formula>
    </cfRule>
  </conditionalFormatting>
  <conditionalFormatting sqref="D24:D25">
    <cfRule type="expression" dxfId="2" priority="3">
      <formula>$C$23&lt;&gt;"YES"</formula>
    </cfRule>
  </conditionalFormatting>
  <conditionalFormatting sqref="D7">
    <cfRule type="expression" dxfId="1" priority="2">
      <formula>$C$7="NO"</formula>
    </cfRule>
  </conditionalFormatting>
  <conditionalFormatting sqref="K19:L19">
    <cfRule type="expression" dxfId="0" priority="1">
      <formula>$C$16&lt;&gt;"YES"</formula>
    </cfRule>
  </conditionalFormatting>
  <pageMargins left="0.7" right="0.7" top="0.75" bottom="0.75" header="0.3" footer="0.3"/>
  <pageSetup paperSize="9"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4161" r:id="rId4" name="Button 65">
              <controlPr defaultSize="0" print="0" autoFill="0" autoPict="0" macro="[0]!AppTier">
                <anchor moveWithCells="1" sizeWithCells="1">
                  <from>
                    <xdr:col>9</xdr:col>
                    <xdr:colOff>552450</xdr:colOff>
                    <xdr:row>5</xdr:row>
                    <xdr:rowOff>12700</xdr:rowOff>
                  </from>
                  <to>
                    <xdr:col>14</xdr:col>
                    <xdr:colOff>660400</xdr:colOff>
                    <xdr:row>8</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3C5F9-2960-4004-8DA8-F0112045F2AD}">
  <sheetPr codeName="Sheet10"/>
  <dimension ref="C2:C47"/>
  <sheetViews>
    <sheetView workbookViewId="0">
      <selection activeCell="C16" sqref="C16"/>
    </sheetView>
  </sheetViews>
  <sheetFormatPr defaultRowHeight="13.5" x14ac:dyDescent="0.3"/>
  <cols>
    <col min="3" max="3" width="218.23046875" bestFit="1" customWidth="1"/>
  </cols>
  <sheetData>
    <row r="2" spans="3:3" ht="19.5" x14ac:dyDescent="0.35">
      <c r="C2" s="8" t="s">
        <v>72</v>
      </c>
    </row>
    <row r="4" spans="3:3" ht="15" x14ac:dyDescent="0.3">
      <c r="C4" s="9" t="s">
        <v>142</v>
      </c>
    </row>
    <row r="6" spans="3:3" x14ac:dyDescent="0.3">
      <c r="C6" t="s">
        <v>143</v>
      </c>
    </row>
    <row r="8" spans="3:3" x14ac:dyDescent="0.3">
      <c r="C8" t="s">
        <v>144</v>
      </c>
    </row>
    <row r="9" spans="3:3" x14ac:dyDescent="0.3">
      <c r="C9" t="s">
        <v>145</v>
      </c>
    </row>
    <row r="11" spans="3:3" x14ac:dyDescent="0.3">
      <c r="C11" t="s">
        <v>146</v>
      </c>
    </row>
    <row r="13" spans="3:3" x14ac:dyDescent="0.3">
      <c r="C13" t="s">
        <v>147</v>
      </c>
    </row>
    <row r="15" spans="3:3" x14ac:dyDescent="0.3">
      <c r="C15" s="1" t="s">
        <v>25</v>
      </c>
    </row>
    <row r="16" spans="3:3" x14ac:dyDescent="0.3">
      <c r="C16" t="s">
        <v>157</v>
      </c>
    </row>
    <row r="17" spans="3:3" x14ac:dyDescent="0.3">
      <c r="C17" t="s">
        <v>148</v>
      </c>
    </row>
    <row r="18" spans="3:3" x14ac:dyDescent="0.3">
      <c r="C18" t="s">
        <v>230</v>
      </c>
    </row>
    <row r="19" spans="3:3" x14ac:dyDescent="0.3">
      <c r="C19" t="s">
        <v>231</v>
      </c>
    </row>
    <row r="20" spans="3:3" ht="15.5" x14ac:dyDescent="0.35">
      <c r="C20" s="7" t="s">
        <v>158</v>
      </c>
    </row>
    <row r="21" spans="3:3" ht="15.5" x14ac:dyDescent="0.35">
      <c r="C21" s="7" t="s">
        <v>149</v>
      </c>
    </row>
    <row r="22" spans="3:3" ht="15.5" x14ac:dyDescent="0.35">
      <c r="C22" s="7" t="s">
        <v>232</v>
      </c>
    </row>
    <row r="23" spans="3:3" x14ac:dyDescent="0.3">
      <c r="C23" t="s">
        <v>233</v>
      </c>
    </row>
    <row r="25" spans="3:3" x14ac:dyDescent="0.3">
      <c r="C25" s="1" t="s">
        <v>26</v>
      </c>
    </row>
    <row r="26" spans="3:3" x14ac:dyDescent="0.3">
      <c r="C26" t="s">
        <v>150</v>
      </c>
    </row>
    <row r="27" spans="3:3" x14ac:dyDescent="0.3">
      <c r="C27" t="s">
        <v>159</v>
      </c>
    </row>
    <row r="28" spans="3:3" x14ac:dyDescent="0.3">
      <c r="C28" t="s">
        <v>234</v>
      </c>
    </row>
    <row r="29" spans="3:3" x14ac:dyDescent="0.3">
      <c r="C29" t="s">
        <v>253</v>
      </c>
    </row>
    <row r="30" spans="3:3" x14ac:dyDescent="0.3">
      <c r="C30" t="s">
        <v>253</v>
      </c>
    </row>
    <row r="31" spans="3:3" x14ac:dyDescent="0.3">
      <c r="C31" t="s">
        <v>247</v>
      </c>
    </row>
    <row r="32" spans="3:3" x14ac:dyDescent="0.3">
      <c r="C32" t="s">
        <v>253</v>
      </c>
    </row>
    <row r="33" spans="3:3" x14ac:dyDescent="0.3">
      <c r="C33" t="s">
        <v>219</v>
      </c>
    </row>
    <row r="34" spans="3:3" x14ac:dyDescent="0.3">
      <c r="C34" t="s">
        <v>248</v>
      </c>
    </row>
    <row r="35" spans="3:3" x14ac:dyDescent="0.3">
      <c r="C35" t="s">
        <v>249</v>
      </c>
    </row>
    <row r="36" spans="3:3" x14ac:dyDescent="0.3">
      <c r="C36" t="s">
        <v>219</v>
      </c>
    </row>
    <row r="38" spans="3:3" x14ac:dyDescent="0.3">
      <c r="C38" s="1" t="s">
        <v>215</v>
      </c>
    </row>
    <row r="39" spans="3:3" x14ac:dyDescent="0.3">
      <c r="C39" t="s">
        <v>263</v>
      </c>
    </row>
    <row r="41" spans="3:3" x14ac:dyDescent="0.3">
      <c r="C41" t="s">
        <v>219</v>
      </c>
    </row>
    <row r="43" spans="3:3" x14ac:dyDescent="0.3">
      <c r="C43" s="1" t="s">
        <v>204</v>
      </c>
    </row>
    <row r="44" spans="3:3" x14ac:dyDescent="0.3">
      <c r="C44" t="s">
        <v>250</v>
      </c>
    </row>
    <row r="45" spans="3:3" x14ac:dyDescent="0.3">
      <c r="C45" t="s">
        <v>251</v>
      </c>
    </row>
    <row r="46" spans="3:3" x14ac:dyDescent="0.3">
      <c r="C46" t="s">
        <v>252</v>
      </c>
    </row>
    <row r="47" spans="3:3" x14ac:dyDescent="0.3">
      <c r="C47" t="s">
        <v>219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C3484-AC13-4B4B-BDB8-D632F625B6E1}">
  <sheetPr codeName="Sheet13"/>
  <dimension ref="C4:K24"/>
  <sheetViews>
    <sheetView zoomScale="61" workbookViewId="0">
      <selection activeCell="C31" sqref="C31"/>
    </sheetView>
  </sheetViews>
  <sheetFormatPr defaultRowHeight="13.5" x14ac:dyDescent="0.3"/>
  <cols>
    <col min="3" max="3" width="255.61328125" bestFit="1" customWidth="1"/>
    <col min="4" max="11" width="8.765625" customWidth="1"/>
  </cols>
  <sheetData>
    <row r="4" spans="3:11" ht="15" x14ac:dyDescent="0.3">
      <c r="C4" s="9" t="s">
        <v>169</v>
      </c>
    </row>
    <row r="6" spans="3:11" x14ac:dyDescent="0.3">
      <c r="C6" s="14" t="s">
        <v>311</v>
      </c>
    </row>
    <row r="7" spans="3:11" x14ac:dyDescent="0.3">
      <c r="C7" t="s">
        <v>312</v>
      </c>
    </row>
    <row r="8" spans="3:11" x14ac:dyDescent="0.3">
      <c r="C8" t="s">
        <v>264</v>
      </c>
    </row>
    <row r="9" spans="3:11" x14ac:dyDescent="0.3">
      <c r="C9" t="s">
        <v>313</v>
      </c>
    </row>
    <row r="10" spans="3:11" x14ac:dyDescent="0.3">
      <c r="C10" t="s">
        <v>244</v>
      </c>
    </row>
    <row r="14" spans="3:11" x14ac:dyDescent="0.3">
      <c r="C14" s="25" t="s">
        <v>262</v>
      </c>
      <c r="D14" s="26">
        <v>1</v>
      </c>
      <c r="E14" s="26">
        <v>2</v>
      </c>
      <c r="F14" s="26">
        <v>3</v>
      </c>
      <c r="G14" s="26">
        <v>4</v>
      </c>
      <c r="H14" s="26">
        <v>5</v>
      </c>
      <c r="I14" s="26">
        <v>6</v>
      </c>
      <c r="J14" s="26">
        <v>7</v>
      </c>
      <c r="K14" s="26">
        <v>8</v>
      </c>
    </row>
    <row r="15" spans="3:11" x14ac:dyDescent="0.3">
      <c r="C15" s="17" t="s">
        <v>297</v>
      </c>
      <c r="D15" s="12">
        <v>118</v>
      </c>
      <c r="E15" s="12">
        <v>118</v>
      </c>
      <c r="F15" s="12">
        <v>118</v>
      </c>
      <c r="G15" s="12">
        <v>118</v>
      </c>
      <c r="H15" s="12">
        <v>118</v>
      </c>
      <c r="I15" s="12">
        <v>118</v>
      </c>
      <c r="J15" s="12">
        <v>118</v>
      </c>
      <c r="K15" s="12">
        <v>118</v>
      </c>
    </row>
    <row r="16" spans="3:11" x14ac:dyDescent="0.3">
      <c r="C16" s="17" t="s">
        <v>293</v>
      </c>
      <c r="D16" s="12">
        <v>118</v>
      </c>
      <c r="E16" s="12">
        <v>118</v>
      </c>
      <c r="F16" s="12">
        <v>118</v>
      </c>
      <c r="G16" s="12">
        <v>118</v>
      </c>
      <c r="H16" s="12">
        <v>118</v>
      </c>
      <c r="I16" s="12">
        <v>118</v>
      </c>
      <c r="J16" s="12">
        <v>118</v>
      </c>
      <c r="K16" s="12">
        <v>118</v>
      </c>
    </row>
    <row r="17" spans="3:11" x14ac:dyDescent="0.3">
      <c r="C17" s="17" t="s">
        <v>299</v>
      </c>
      <c r="D17" s="12">
        <v>58</v>
      </c>
      <c r="E17" s="12">
        <v>58</v>
      </c>
      <c r="F17" s="12">
        <v>58</v>
      </c>
      <c r="G17" s="12">
        <v>58</v>
      </c>
      <c r="H17" s="12">
        <v>58</v>
      </c>
      <c r="I17" s="12">
        <v>58</v>
      </c>
      <c r="J17" s="12">
        <v>58</v>
      </c>
      <c r="K17" s="12">
        <v>58</v>
      </c>
    </row>
    <row r="18" spans="3:11" x14ac:dyDescent="0.3">
      <c r="C18" s="17" t="s">
        <v>309</v>
      </c>
      <c r="D18" s="12">
        <v>118</v>
      </c>
      <c r="E18" s="12">
        <v>118</v>
      </c>
      <c r="F18" s="12">
        <v>118</v>
      </c>
      <c r="G18" s="12">
        <v>118</v>
      </c>
      <c r="H18" s="12">
        <v>118</v>
      </c>
      <c r="I18" s="12">
        <v>118</v>
      </c>
      <c r="J18" s="12">
        <v>118</v>
      </c>
      <c r="K18" s="12">
        <v>118</v>
      </c>
    </row>
    <row r="19" spans="3:11" x14ac:dyDescent="0.3">
      <c r="C19" s="17" t="s">
        <v>308</v>
      </c>
      <c r="D19" s="12">
        <v>118</v>
      </c>
      <c r="E19" s="12">
        <v>118</v>
      </c>
      <c r="F19" s="12">
        <v>118</v>
      </c>
      <c r="G19" s="12">
        <v>118</v>
      </c>
      <c r="H19" s="12">
        <v>118</v>
      </c>
      <c r="I19" s="12">
        <v>118</v>
      </c>
      <c r="J19" s="12">
        <v>118</v>
      </c>
      <c r="K19" s="12">
        <v>118</v>
      </c>
    </row>
    <row r="20" spans="3:11" x14ac:dyDescent="0.3">
      <c r="C20" s="17" t="s">
        <v>300</v>
      </c>
      <c r="D20" s="12">
        <v>234</v>
      </c>
      <c r="E20" s="12">
        <v>234</v>
      </c>
      <c r="F20" s="12">
        <v>234</v>
      </c>
      <c r="G20" s="12">
        <v>234</v>
      </c>
      <c r="H20" s="12">
        <v>234</v>
      </c>
      <c r="I20" s="12">
        <v>234</v>
      </c>
      <c r="J20" s="12">
        <v>234</v>
      </c>
      <c r="K20" s="12">
        <v>234</v>
      </c>
    </row>
    <row r="21" spans="3:11" x14ac:dyDescent="0.3">
      <c r="C21" s="17" t="s">
        <v>301</v>
      </c>
      <c r="D21" s="12">
        <v>234</v>
      </c>
      <c r="E21" s="12">
        <v>234</v>
      </c>
      <c r="F21" s="12">
        <v>234</v>
      </c>
      <c r="G21" s="12">
        <v>234</v>
      </c>
      <c r="H21" s="12">
        <v>234</v>
      </c>
      <c r="I21" s="12">
        <v>234</v>
      </c>
      <c r="J21" s="12">
        <v>234</v>
      </c>
      <c r="K21" s="12">
        <v>234</v>
      </c>
    </row>
    <row r="22" spans="3:11" x14ac:dyDescent="0.3">
      <c r="C22" s="17" t="s">
        <v>302</v>
      </c>
      <c r="D22" s="12">
        <v>223</v>
      </c>
      <c r="E22" s="12">
        <v>223</v>
      </c>
      <c r="F22" s="12">
        <v>223</v>
      </c>
      <c r="G22" s="12">
        <v>223</v>
      </c>
      <c r="H22" s="12">
        <v>223</v>
      </c>
      <c r="I22" s="12">
        <v>223</v>
      </c>
      <c r="J22" s="12">
        <v>223</v>
      </c>
      <c r="K22" s="12">
        <v>223</v>
      </c>
    </row>
    <row r="23" spans="3:11" x14ac:dyDescent="0.3">
      <c r="C23" s="17" t="s">
        <v>303</v>
      </c>
      <c r="D23" s="12">
        <v>55</v>
      </c>
      <c r="E23" s="12">
        <v>55</v>
      </c>
      <c r="F23" s="12">
        <v>55</v>
      </c>
      <c r="G23" s="12">
        <v>55</v>
      </c>
      <c r="H23" s="12">
        <v>55</v>
      </c>
      <c r="I23" s="12">
        <v>55</v>
      </c>
      <c r="J23" s="12">
        <v>55</v>
      </c>
      <c r="K23" s="12">
        <v>55</v>
      </c>
    </row>
    <row r="24" spans="3:11" x14ac:dyDescent="0.3">
      <c r="C24" s="17" t="s">
        <v>304</v>
      </c>
      <c r="D24" s="12">
        <v>55</v>
      </c>
      <c r="E24" s="12">
        <v>55</v>
      </c>
      <c r="F24" s="12">
        <v>55</v>
      </c>
      <c r="G24" s="12">
        <v>55</v>
      </c>
      <c r="H24" s="12">
        <v>55</v>
      </c>
      <c r="I24" s="12">
        <v>55</v>
      </c>
      <c r="J24" s="12">
        <v>55</v>
      </c>
      <c r="K24" s="12">
        <v>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1DE2A-54C1-4E8B-A428-DD2CE26111FE}">
  <sheetPr codeName="Sheet11"/>
  <dimension ref="C4:C17"/>
  <sheetViews>
    <sheetView workbookViewId="0">
      <selection activeCell="C4" sqref="C4"/>
    </sheetView>
  </sheetViews>
  <sheetFormatPr defaultRowHeight="13.5" x14ac:dyDescent="0.3"/>
  <cols>
    <col min="3" max="3" width="45.23046875" bestFit="1" customWidth="1"/>
  </cols>
  <sheetData>
    <row r="4" spans="3:3" ht="15" x14ac:dyDescent="0.3">
      <c r="C4" s="9" t="s">
        <v>171</v>
      </c>
    </row>
    <row r="6" spans="3:3" x14ac:dyDescent="0.3">
      <c r="C6" t="s">
        <v>172</v>
      </c>
    </row>
    <row r="7" spans="3:3" x14ac:dyDescent="0.3">
      <c r="C7" t="s">
        <v>173</v>
      </c>
    </row>
    <row r="8" spans="3:3" x14ac:dyDescent="0.3">
      <c r="C8" t="s">
        <v>174</v>
      </c>
    </row>
    <row r="9" spans="3:3" x14ac:dyDescent="0.3">
      <c r="C9" t="s">
        <v>175</v>
      </c>
    </row>
    <row r="10" spans="3:3" x14ac:dyDescent="0.3">
      <c r="C10" t="s">
        <v>235</v>
      </c>
    </row>
    <row r="11" spans="3:3" x14ac:dyDescent="0.3">
      <c r="C11" t="s">
        <v>236</v>
      </c>
    </row>
    <row r="12" spans="3:3" x14ac:dyDescent="0.3">
      <c r="C12" t="s">
        <v>237</v>
      </c>
    </row>
    <row r="13" spans="3:3" x14ac:dyDescent="0.3">
      <c r="C13" t="s">
        <v>238</v>
      </c>
    </row>
    <row r="14" spans="3:3" x14ac:dyDescent="0.3">
      <c r="C14" t="s">
        <v>239</v>
      </c>
    </row>
    <row r="15" spans="3:3" x14ac:dyDescent="0.3">
      <c r="C15" t="s">
        <v>240</v>
      </c>
    </row>
    <row r="16" spans="3:3" x14ac:dyDescent="0.3">
      <c r="C16" t="s">
        <v>241</v>
      </c>
    </row>
    <row r="17" spans="3:3" x14ac:dyDescent="0.3">
      <c r="C17" t="s">
        <v>242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B565C-5AE3-4537-9DC7-50CA3C2F2265}">
  <sheetPr codeName="Sheet9"/>
  <dimension ref="C1:AB24"/>
  <sheetViews>
    <sheetView topLeftCell="G1" zoomScale="67" workbookViewId="0">
      <selection activeCell="J36" sqref="J36"/>
    </sheetView>
  </sheetViews>
  <sheetFormatPr defaultRowHeight="13.5" x14ac:dyDescent="0.3"/>
  <cols>
    <col min="1" max="1" width="1.4609375" customWidth="1"/>
    <col min="2" max="2" width="1.23046875" customWidth="1"/>
    <col min="3" max="3" width="1.4609375" customWidth="1"/>
    <col min="4" max="4" width="26.61328125" customWidth="1"/>
    <col min="5" max="5" width="10.765625" customWidth="1"/>
    <col min="6" max="6" width="12.15234375" customWidth="1"/>
    <col min="7" max="7" width="29.4609375" customWidth="1"/>
    <col min="8" max="8" width="46.4609375" customWidth="1"/>
    <col min="9" max="9" width="7.15234375" customWidth="1"/>
    <col min="10" max="11" width="11.765625" customWidth="1"/>
    <col min="15" max="15" width="9.23046875" customWidth="1"/>
    <col min="16" max="16" width="11.15234375" customWidth="1"/>
    <col min="17" max="18" width="13.61328125" bestFit="1" customWidth="1"/>
    <col min="19" max="19" width="14.765625" customWidth="1"/>
    <col min="20" max="20" width="15.3828125" bestFit="1" customWidth="1"/>
    <col min="21" max="21" width="14.15234375" bestFit="1" customWidth="1"/>
    <col min="22" max="22" width="12.4609375" bestFit="1" customWidth="1"/>
  </cols>
  <sheetData>
    <row r="1" spans="3:28" x14ac:dyDescent="0.3">
      <c r="C1" s="6"/>
      <c r="E1" s="10"/>
      <c r="F1" s="10"/>
      <c r="G1" s="10"/>
      <c r="H1" s="10"/>
      <c r="I1" s="10"/>
      <c r="J1" s="10"/>
      <c r="K1" s="10"/>
    </row>
    <row r="3" spans="3:28" x14ac:dyDescent="0.3">
      <c r="E3" s="5"/>
      <c r="J3" s="55" t="s">
        <v>261</v>
      </c>
      <c r="K3" s="55"/>
      <c r="L3" s="55"/>
      <c r="M3" s="55"/>
      <c r="N3" s="55"/>
      <c r="O3" s="55"/>
      <c r="P3" s="55"/>
      <c r="Q3" s="55"/>
      <c r="R3" s="55"/>
      <c r="S3" s="55"/>
      <c r="T3" s="55"/>
      <c r="U3" s="55"/>
      <c r="V3" s="55"/>
    </row>
    <row r="4" spans="3:28" x14ac:dyDescent="0.3">
      <c r="D4" s="16"/>
      <c r="E4" s="53" t="s">
        <v>140</v>
      </c>
      <c r="F4" s="53"/>
      <c r="G4" s="4"/>
      <c r="H4" s="4"/>
      <c r="I4" s="4"/>
      <c r="J4" s="17" t="s">
        <v>295</v>
      </c>
      <c r="K4" s="17" t="s">
        <v>294</v>
      </c>
      <c r="L4" s="17" t="s">
        <v>295</v>
      </c>
      <c r="M4" s="17" t="s">
        <v>294</v>
      </c>
      <c r="N4" s="17" t="s">
        <v>294</v>
      </c>
      <c r="O4" s="17" t="s">
        <v>295</v>
      </c>
      <c r="P4" s="17" t="s">
        <v>294</v>
      </c>
      <c r="Q4" s="17" t="s">
        <v>295</v>
      </c>
      <c r="R4" s="17" t="s">
        <v>294</v>
      </c>
      <c r="S4" s="17" t="s">
        <v>295</v>
      </c>
      <c r="T4" s="17" t="s">
        <v>294</v>
      </c>
      <c r="U4" s="17" t="s">
        <v>294</v>
      </c>
      <c r="V4" s="17" t="s">
        <v>294</v>
      </c>
    </row>
    <row r="5" spans="3:28" ht="41.5" customHeight="1" x14ac:dyDescent="0.3">
      <c r="D5" s="16"/>
      <c r="E5" s="54" t="s">
        <v>243</v>
      </c>
      <c r="F5" s="54"/>
      <c r="G5" s="11"/>
      <c r="H5" s="11"/>
      <c r="I5" s="11" t="s">
        <v>229</v>
      </c>
      <c r="J5" s="17" t="s">
        <v>208</v>
      </c>
      <c r="K5" s="17" t="s">
        <v>208</v>
      </c>
      <c r="L5" s="18" t="s">
        <v>209</v>
      </c>
      <c r="M5" s="52" t="s">
        <v>307</v>
      </c>
      <c r="N5" s="52" t="s">
        <v>314</v>
      </c>
      <c r="O5" s="18" t="s">
        <v>0</v>
      </c>
      <c r="P5" s="18" t="s">
        <v>0</v>
      </c>
      <c r="Q5" s="18" t="s">
        <v>20</v>
      </c>
      <c r="R5" s="18" t="s">
        <v>20</v>
      </c>
      <c r="S5" s="16" t="s">
        <v>1</v>
      </c>
      <c r="T5" s="16" t="s">
        <v>296</v>
      </c>
      <c r="U5" s="16" t="s">
        <v>2</v>
      </c>
      <c r="V5" s="16" t="s">
        <v>3</v>
      </c>
    </row>
    <row r="6" spans="3:28" x14ac:dyDescent="0.3">
      <c r="D6" s="12" t="s">
        <v>71</v>
      </c>
      <c r="E6" s="2">
        <v>0</v>
      </c>
      <c r="F6" s="2">
        <v>60</v>
      </c>
      <c r="G6" s="3"/>
      <c r="H6" s="21" t="s">
        <v>177</v>
      </c>
      <c r="I6" s="19">
        <f>'Effort Estimation'!G5</f>
        <v>18</v>
      </c>
      <c r="J6" s="13">
        <v>0.5</v>
      </c>
      <c r="K6" s="13">
        <v>0.5</v>
      </c>
      <c r="L6" s="13">
        <v>1</v>
      </c>
      <c r="M6" s="13">
        <v>0.5</v>
      </c>
      <c r="N6" s="13">
        <v>0.5</v>
      </c>
      <c r="O6" s="13">
        <v>0</v>
      </c>
      <c r="P6" s="13">
        <v>0</v>
      </c>
      <c r="Q6" s="13">
        <v>0</v>
      </c>
      <c r="R6" s="13">
        <v>0</v>
      </c>
      <c r="S6" s="13">
        <v>0</v>
      </c>
      <c r="T6" s="13">
        <v>0</v>
      </c>
      <c r="U6" s="13">
        <v>0</v>
      </c>
      <c r="V6" s="13">
        <v>0</v>
      </c>
      <c r="AA6" t="s">
        <v>129</v>
      </c>
      <c r="AB6">
        <v>52</v>
      </c>
    </row>
    <row r="7" spans="3:28" x14ac:dyDescent="0.3">
      <c r="D7" s="12" t="s">
        <v>75</v>
      </c>
      <c r="E7" s="2">
        <v>61</v>
      </c>
      <c r="F7" s="2">
        <v>100</v>
      </c>
      <c r="G7" s="3"/>
      <c r="H7" s="21" t="s">
        <v>185</v>
      </c>
      <c r="I7" s="19">
        <f>'Effort Estimation'!G14</f>
        <v>6</v>
      </c>
      <c r="J7" s="13">
        <v>0.5</v>
      </c>
      <c r="K7" s="13">
        <v>0.5</v>
      </c>
      <c r="L7" s="13">
        <v>0</v>
      </c>
      <c r="M7" s="13">
        <v>0.5</v>
      </c>
      <c r="N7" s="13">
        <v>0.5</v>
      </c>
      <c r="O7" s="13">
        <v>1</v>
      </c>
      <c r="P7" s="13">
        <v>1</v>
      </c>
      <c r="Q7" s="13">
        <v>0</v>
      </c>
      <c r="R7" s="13">
        <v>0</v>
      </c>
      <c r="S7" s="13">
        <v>0</v>
      </c>
      <c r="T7" s="13">
        <v>0</v>
      </c>
      <c r="U7" s="13">
        <v>0</v>
      </c>
      <c r="V7" s="13">
        <v>0</v>
      </c>
      <c r="AA7" t="s">
        <v>127</v>
      </c>
    </row>
    <row r="8" spans="3:28" x14ac:dyDescent="0.3">
      <c r="D8" s="12" t="s">
        <v>72</v>
      </c>
      <c r="E8" s="2">
        <v>101</v>
      </c>
      <c r="F8" s="2">
        <v>150</v>
      </c>
      <c r="G8" s="3"/>
      <c r="H8" s="21" t="s">
        <v>271</v>
      </c>
      <c r="I8" s="19">
        <f>'Effort Estimation'!G18</f>
        <v>44</v>
      </c>
      <c r="J8" s="13">
        <v>0.5</v>
      </c>
      <c r="K8" s="13">
        <v>0.5</v>
      </c>
      <c r="L8" s="13">
        <v>1</v>
      </c>
      <c r="M8" s="13">
        <v>0.5</v>
      </c>
      <c r="N8" s="13">
        <v>0.5</v>
      </c>
      <c r="O8" s="13">
        <v>1</v>
      </c>
      <c r="P8" s="13">
        <v>1</v>
      </c>
      <c r="Q8" s="13">
        <v>0</v>
      </c>
      <c r="R8" s="13">
        <v>0</v>
      </c>
      <c r="S8" s="13">
        <v>0.2</v>
      </c>
      <c r="T8" s="13">
        <v>0.2</v>
      </c>
      <c r="U8" s="13">
        <v>0</v>
      </c>
      <c r="V8" s="13">
        <v>0</v>
      </c>
      <c r="AA8" t="s">
        <v>126</v>
      </c>
    </row>
    <row r="9" spans="3:28" x14ac:dyDescent="0.3">
      <c r="D9" s="12" t="s">
        <v>73</v>
      </c>
      <c r="E9" s="2">
        <v>151</v>
      </c>
      <c r="F9" s="2">
        <v>200</v>
      </c>
      <c r="G9" s="3"/>
      <c r="H9" s="21" t="s">
        <v>196</v>
      </c>
      <c r="I9" s="19">
        <f>'Effort Estimation'!G28</f>
        <v>42</v>
      </c>
      <c r="J9" s="13">
        <v>0.5</v>
      </c>
      <c r="K9" s="13">
        <v>0.5</v>
      </c>
      <c r="L9" s="13">
        <v>1</v>
      </c>
      <c r="M9" s="13">
        <v>0.5</v>
      </c>
      <c r="N9" s="13">
        <v>0.5</v>
      </c>
      <c r="O9" s="13">
        <v>1</v>
      </c>
      <c r="P9" s="13">
        <v>1</v>
      </c>
      <c r="Q9" s="13">
        <v>0</v>
      </c>
      <c r="R9" s="13">
        <v>0</v>
      </c>
      <c r="S9" s="13">
        <v>0.2</v>
      </c>
      <c r="T9" s="13">
        <v>0.2</v>
      </c>
      <c r="U9" s="13">
        <v>0</v>
      </c>
      <c r="V9" s="13">
        <v>0</v>
      </c>
      <c r="AA9" t="s">
        <v>125</v>
      </c>
      <c r="AB9">
        <v>100</v>
      </c>
    </row>
    <row r="10" spans="3:28" x14ac:dyDescent="0.3">
      <c r="D10" s="12" t="s">
        <v>74</v>
      </c>
      <c r="E10" s="2">
        <v>201</v>
      </c>
      <c r="F10" s="2">
        <v>999</v>
      </c>
      <c r="G10" s="3"/>
      <c r="H10" s="22" t="s">
        <v>200</v>
      </c>
      <c r="I10" s="19">
        <f>'Effort Estimation'!G35</f>
        <v>148</v>
      </c>
      <c r="J10" s="13">
        <v>0.5</v>
      </c>
      <c r="K10" s="13">
        <v>0.5</v>
      </c>
      <c r="L10" s="13">
        <v>0.2</v>
      </c>
      <c r="M10" s="13">
        <v>0.5</v>
      </c>
      <c r="N10" s="13">
        <v>0.5</v>
      </c>
      <c r="O10" s="13">
        <v>1</v>
      </c>
      <c r="P10" s="13">
        <v>1</v>
      </c>
      <c r="Q10" s="13">
        <v>1</v>
      </c>
      <c r="R10" s="13">
        <v>1</v>
      </c>
      <c r="S10" s="13">
        <v>0</v>
      </c>
      <c r="T10" s="13">
        <v>0</v>
      </c>
      <c r="U10" s="13">
        <v>0</v>
      </c>
      <c r="V10" s="13">
        <v>0</v>
      </c>
      <c r="AA10" t="s">
        <v>128</v>
      </c>
    </row>
    <row r="11" spans="3:28" x14ac:dyDescent="0.3">
      <c r="H11" s="22" t="s">
        <v>203</v>
      </c>
      <c r="I11" s="19">
        <f>'Effort Estimation'!G53</f>
        <v>96.5</v>
      </c>
      <c r="J11" s="13">
        <v>0.5</v>
      </c>
      <c r="K11" s="13">
        <v>0.5</v>
      </c>
      <c r="L11" s="13">
        <v>0.2</v>
      </c>
      <c r="M11" s="13">
        <v>0.5</v>
      </c>
      <c r="N11" s="13">
        <v>0.5</v>
      </c>
      <c r="O11" s="13">
        <v>1</v>
      </c>
      <c r="P11" s="13">
        <v>1</v>
      </c>
      <c r="Q11" s="13">
        <v>1</v>
      </c>
      <c r="R11" s="13">
        <v>1</v>
      </c>
      <c r="S11" s="13">
        <v>0</v>
      </c>
      <c r="T11" s="13">
        <v>0</v>
      </c>
      <c r="U11" s="13">
        <v>0</v>
      </c>
      <c r="V11" s="13">
        <v>0</v>
      </c>
      <c r="AA11" t="s">
        <v>152</v>
      </c>
      <c r="AB11">
        <v>133</v>
      </c>
    </row>
    <row r="12" spans="3:28" x14ac:dyDescent="0.3">
      <c r="H12" s="22" t="s">
        <v>215</v>
      </c>
      <c r="I12" s="19">
        <f>'Effort Estimation'!G70</f>
        <v>72</v>
      </c>
      <c r="J12" s="13">
        <v>0.5</v>
      </c>
      <c r="K12" s="13">
        <v>0.5</v>
      </c>
      <c r="L12" s="13">
        <v>0.2</v>
      </c>
      <c r="M12" s="13">
        <v>0.5</v>
      </c>
      <c r="N12" s="13">
        <v>0.5</v>
      </c>
      <c r="O12" s="13">
        <v>1</v>
      </c>
      <c r="P12" s="13">
        <v>1</v>
      </c>
      <c r="Q12" s="13">
        <v>1</v>
      </c>
      <c r="R12" s="13">
        <v>1</v>
      </c>
      <c r="S12" s="13">
        <v>0</v>
      </c>
      <c r="T12" s="13">
        <v>0</v>
      </c>
      <c r="U12" s="13">
        <v>0</v>
      </c>
      <c r="V12" s="13">
        <v>0</v>
      </c>
      <c r="AA12" t="s">
        <v>151</v>
      </c>
    </row>
    <row r="13" spans="3:28" x14ac:dyDescent="0.3">
      <c r="H13" s="22" t="s">
        <v>204</v>
      </c>
      <c r="I13" s="19">
        <f>'Effort Estimation'!G74</f>
        <v>126</v>
      </c>
      <c r="J13" s="13">
        <v>0.5</v>
      </c>
      <c r="K13" s="13">
        <v>0.5</v>
      </c>
      <c r="L13" s="13">
        <v>0.2</v>
      </c>
      <c r="M13" s="13">
        <v>0.5</v>
      </c>
      <c r="N13" s="13">
        <v>0.5</v>
      </c>
      <c r="O13" s="13">
        <v>1</v>
      </c>
      <c r="P13" s="13">
        <v>1</v>
      </c>
      <c r="Q13" s="13">
        <v>1</v>
      </c>
      <c r="R13" s="13">
        <v>1</v>
      </c>
      <c r="S13" s="13">
        <v>0</v>
      </c>
      <c r="T13" s="13">
        <v>0</v>
      </c>
      <c r="U13" s="13">
        <v>0</v>
      </c>
      <c r="V13" s="13">
        <v>0</v>
      </c>
      <c r="AA13" t="s">
        <v>153</v>
      </c>
    </row>
    <row r="14" spans="3:28" x14ac:dyDescent="0.3">
      <c r="H14" s="22" t="s">
        <v>37</v>
      </c>
      <c r="I14" s="19">
        <f>'Effort Estimation'!G80</f>
        <v>24</v>
      </c>
      <c r="J14" s="13">
        <v>0.5</v>
      </c>
      <c r="K14" s="13">
        <v>0.5</v>
      </c>
      <c r="L14" s="13">
        <v>0.2</v>
      </c>
      <c r="M14" s="13">
        <v>0.5</v>
      </c>
      <c r="N14" s="13">
        <v>0.5</v>
      </c>
      <c r="O14" s="13">
        <v>1</v>
      </c>
      <c r="P14" s="13">
        <v>1</v>
      </c>
      <c r="Q14" s="13">
        <v>1</v>
      </c>
      <c r="R14" s="13">
        <v>1</v>
      </c>
      <c r="S14" s="13">
        <v>0.2</v>
      </c>
      <c r="T14" s="13">
        <v>0.2</v>
      </c>
      <c r="U14" s="13">
        <v>0</v>
      </c>
      <c r="V14" s="13">
        <v>1</v>
      </c>
    </row>
    <row r="15" spans="3:28" x14ac:dyDescent="0.3">
      <c r="H15" s="22" t="s">
        <v>39</v>
      </c>
      <c r="I15" s="19">
        <f>'Effort Estimation'!G84</f>
        <v>552</v>
      </c>
      <c r="J15" s="13">
        <v>0.5</v>
      </c>
      <c r="K15" s="13">
        <v>0.5</v>
      </c>
      <c r="L15" s="13">
        <v>0.2</v>
      </c>
      <c r="M15" s="13">
        <v>0.5</v>
      </c>
      <c r="N15" s="13">
        <v>0.5</v>
      </c>
      <c r="O15" s="13">
        <v>1</v>
      </c>
      <c r="P15" s="13">
        <v>1</v>
      </c>
      <c r="Q15" s="13">
        <v>1</v>
      </c>
      <c r="R15" s="13">
        <v>1</v>
      </c>
      <c r="S15" s="13">
        <v>0</v>
      </c>
      <c r="T15" s="13">
        <v>0</v>
      </c>
      <c r="U15" s="13">
        <v>0</v>
      </c>
      <c r="V15" s="13">
        <v>0</v>
      </c>
    </row>
    <row r="16" spans="3:28" x14ac:dyDescent="0.3">
      <c r="H16" s="22" t="s">
        <v>40</v>
      </c>
      <c r="I16" s="19">
        <f>'Effort Estimation'!G90</f>
        <v>140</v>
      </c>
      <c r="J16" s="13">
        <v>0.5</v>
      </c>
      <c r="K16" s="13">
        <v>0.5</v>
      </c>
      <c r="L16" s="13">
        <v>0.2</v>
      </c>
      <c r="M16" s="13">
        <v>0.5</v>
      </c>
      <c r="N16" s="13">
        <v>0.5</v>
      </c>
      <c r="O16" s="13">
        <v>1</v>
      </c>
      <c r="P16" s="13">
        <v>1</v>
      </c>
      <c r="Q16" s="13">
        <v>1</v>
      </c>
      <c r="R16" s="13">
        <v>1</v>
      </c>
      <c r="S16" s="13">
        <v>1</v>
      </c>
      <c r="T16" s="13">
        <v>1</v>
      </c>
      <c r="U16" s="13">
        <v>0</v>
      </c>
      <c r="V16" s="13">
        <v>0</v>
      </c>
    </row>
    <row r="17" spans="8:22" x14ac:dyDescent="0.3">
      <c r="H17" s="22" t="s">
        <v>46</v>
      </c>
      <c r="I17" s="19">
        <f>'Effort Estimation'!G97</f>
        <v>140</v>
      </c>
      <c r="J17" s="13">
        <v>0.5</v>
      </c>
      <c r="K17" s="13">
        <v>0.5</v>
      </c>
      <c r="L17" s="13">
        <v>0.2</v>
      </c>
      <c r="M17" s="13">
        <v>0.5</v>
      </c>
      <c r="N17" s="13">
        <v>0.5</v>
      </c>
      <c r="O17" s="13">
        <v>1</v>
      </c>
      <c r="P17" s="13">
        <v>1</v>
      </c>
      <c r="Q17" s="13">
        <v>1</v>
      </c>
      <c r="R17" s="13">
        <v>1</v>
      </c>
      <c r="S17" s="13">
        <v>0</v>
      </c>
      <c r="T17" s="13">
        <v>0</v>
      </c>
      <c r="U17" s="13">
        <v>1</v>
      </c>
      <c r="V17" s="13">
        <v>0</v>
      </c>
    </row>
    <row r="18" spans="8:22" x14ac:dyDescent="0.3">
      <c r="H18" s="22" t="s">
        <v>22</v>
      </c>
      <c r="I18" s="19">
        <f>'Effort Estimation'!G106</f>
        <v>64</v>
      </c>
      <c r="J18" s="13">
        <v>0.5</v>
      </c>
      <c r="K18" s="13">
        <v>0.5</v>
      </c>
      <c r="L18" s="13">
        <v>0.2</v>
      </c>
      <c r="M18" s="13">
        <v>0.5</v>
      </c>
      <c r="N18" s="13">
        <v>0.5</v>
      </c>
      <c r="O18" s="13">
        <v>1</v>
      </c>
      <c r="P18" s="13">
        <v>1</v>
      </c>
      <c r="Q18" s="13">
        <v>1</v>
      </c>
      <c r="R18" s="13">
        <v>1</v>
      </c>
      <c r="S18" s="13">
        <v>1</v>
      </c>
      <c r="T18" s="13">
        <v>1</v>
      </c>
      <c r="U18" s="13">
        <v>0</v>
      </c>
      <c r="V18" s="13">
        <v>0</v>
      </c>
    </row>
    <row r="19" spans="8:22" x14ac:dyDescent="0.3">
      <c r="H19" s="23" t="s">
        <v>53</v>
      </c>
      <c r="I19" s="19">
        <f>'Effort Estimation'!G112</f>
        <v>244</v>
      </c>
      <c r="J19" s="13">
        <v>0.5</v>
      </c>
      <c r="K19" s="13">
        <v>0.5</v>
      </c>
      <c r="L19" s="13">
        <v>0.2</v>
      </c>
      <c r="M19" s="13">
        <v>0.5</v>
      </c>
      <c r="N19" s="13">
        <v>0.5</v>
      </c>
      <c r="O19" s="13">
        <v>1</v>
      </c>
      <c r="P19" s="13">
        <v>1</v>
      </c>
      <c r="Q19" s="13">
        <v>1</v>
      </c>
      <c r="R19" s="13">
        <v>1</v>
      </c>
      <c r="S19" s="13">
        <v>0.5</v>
      </c>
      <c r="T19" s="13">
        <v>0.5</v>
      </c>
      <c r="U19" s="13">
        <v>0.2</v>
      </c>
      <c r="V19" s="13">
        <v>0</v>
      </c>
    </row>
    <row r="20" spans="8:22" x14ac:dyDescent="0.3">
      <c r="H20" s="24" t="s">
        <v>257</v>
      </c>
      <c r="I20" s="19">
        <f>'Effort Estimation'!G119</f>
        <v>96</v>
      </c>
      <c r="J20" s="13">
        <v>0.5</v>
      </c>
      <c r="K20" s="13">
        <v>0.5</v>
      </c>
      <c r="L20" s="13">
        <v>0.2</v>
      </c>
      <c r="M20" s="13">
        <v>0.5</v>
      </c>
      <c r="N20" s="13">
        <v>0.5</v>
      </c>
      <c r="O20" s="13">
        <v>1</v>
      </c>
      <c r="P20" s="13">
        <v>1</v>
      </c>
      <c r="Q20" s="13">
        <v>1</v>
      </c>
      <c r="R20" s="13">
        <v>1</v>
      </c>
      <c r="S20" s="13">
        <v>0.5</v>
      </c>
      <c r="T20" s="13">
        <v>0.5</v>
      </c>
      <c r="U20" s="13">
        <v>0</v>
      </c>
      <c r="V20" s="13">
        <v>0</v>
      </c>
    </row>
    <row r="21" spans="8:22" x14ac:dyDescent="0.3">
      <c r="H21" s="24" t="s">
        <v>62</v>
      </c>
      <c r="I21" s="19">
        <f>'Effort Estimation'!G123</f>
        <v>36</v>
      </c>
      <c r="J21" s="13">
        <v>0.5</v>
      </c>
      <c r="K21" s="13">
        <v>0.5</v>
      </c>
      <c r="L21" s="13">
        <v>0.2</v>
      </c>
      <c r="M21" s="13">
        <v>0.5</v>
      </c>
      <c r="N21" s="13">
        <v>0.5</v>
      </c>
      <c r="O21" s="13">
        <v>1</v>
      </c>
      <c r="P21" s="13">
        <v>1</v>
      </c>
      <c r="Q21" s="13">
        <v>1</v>
      </c>
      <c r="R21" s="13">
        <v>1</v>
      </c>
      <c r="S21" s="13">
        <v>0.5</v>
      </c>
      <c r="T21" s="13">
        <v>0.5</v>
      </c>
      <c r="U21" s="13">
        <v>0</v>
      </c>
      <c r="V21" s="13">
        <v>0</v>
      </c>
    </row>
    <row r="22" spans="8:22" x14ac:dyDescent="0.3">
      <c r="H22" s="24" t="s">
        <v>137</v>
      </c>
      <c r="I22" s="19">
        <f>'Effort Estimation'!G128</f>
        <v>44</v>
      </c>
      <c r="J22" s="13">
        <v>0.5</v>
      </c>
      <c r="K22" s="13">
        <v>0.5</v>
      </c>
      <c r="L22" s="13">
        <v>0.2</v>
      </c>
      <c r="M22" s="13">
        <v>0.5</v>
      </c>
      <c r="N22" s="13">
        <v>0.5</v>
      </c>
      <c r="O22" s="13">
        <v>1</v>
      </c>
      <c r="P22" s="13">
        <v>1</v>
      </c>
      <c r="Q22" s="13">
        <v>1</v>
      </c>
      <c r="R22" s="13">
        <v>1</v>
      </c>
      <c r="S22" s="13">
        <v>0.5</v>
      </c>
      <c r="T22" s="13">
        <v>0.5</v>
      </c>
      <c r="U22" s="13">
        <v>0</v>
      </c>
      <c r="V22" s="13">
        <v>0</v>
      </c>
    </row>
    <row r="24" spans="8:22" x14ac:dyDescent="0.3">
      <c r="I24">
        <f>SUM(I6:I22)</f>
        <v>1892.5</v>
      </c>
      <c r="J24">
        <f>SUMPRODUCT($I6:$I22,J6:J22)</f>
        <v>946.25</v>
      </c>
      <c r="K24">
        <f>SUMPRODUCT($I6:$I22,K6:K22)</f>
        <v>946.25</v>
      </c>
      <c r="L24">
        <f t="shared" ref="L24:V24" si="0">SUMPRODUCT($I6:$I22,L6:L22)</f>
        <v>460.50000000000006</v>
      </c>
      <c r="M24">
        <f t="shared" si="0"/>
        <v>946.25</v>
      </c>
      <c r="N24">
        <f t="shared" si="0"/>
        <v>946.25</v>
      </c>
      <c r="O24">
        <f t="shared" si="0"/>
        <v>1874.5</v>
      </c>
      <c r="P24">
        <f t="shared" si="0"/>
        <v>1874.5</v>
      </c>
      <c r="Q24">
        <f t="shared" si="0"/>
        <v>1782.5</v>
      </c>
      <c r="R24">
        <f t="shared" si="0"/>
        <v>1782.5</v>
      </c>
      <c r="S24">
        <f t="shared" si="0"/>
        <v>436</v>
      </c>
      <c r="T24">
        <f t="shared" si="0"/>
        <v>436</v>
      </c>
      <c r="U24">
        <f t="shared" si="0"/>
        <v>188.8</v>
      </c>
      <c r="V24">
        <f t="shared" si="0"/>
        <v>24</v>
      </c>
    </row>
  </sheetData>
  <mergeCells count="3">
    <mergeCell ref="E4:F4"/>
    <mergeCell ref="E5:F5"/>
    <mergeCell ref="J3:V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6D14-B405-4F02-827A-6DB3AFD9B3B8}">
  <sheetPr codeName="Sheet17"/>
  <dimension ref="A3:J132"/>
  <sheetViews>
    <sheetView zoomScale="80" zoomScaleNormal="80" workbookViewId="0">
      <pane xSplit="2" ySplit="4" topLeftCell="C5" activePane="bottomRight" state="frozen"/>
      <selection pane="topRight" activeCell="C1" sqref="C1"/>
      <selection pane="bottomLeft" activeCell="A5" sqref="A5"/>
      <selection pane="bottomRight" activeCell="E154" sqref="E154"/>
    </sheetView>
  </sheetViews>
  <sheetFormatPr defaultRowHeight="13.5" x14ac:dyDescent="0.3"/>
  <cols>
    <col min="2" max="2" width="52.4609375" bestFit="1" customWidth="1"/>
    <col min="3" max="3" width="13.84375" bestFit="1" customWidth="1"/>
    <col min="4" max="5" width="10.15234375" style="3" customWidth="1"/>
    <col min="6" max="6" width="14.4609375" customWidth="1"/>
    <col min="7" max="7" width="16.15234375" customWidth="1"/>
    <col min="8" max="8" width="9.765625" bestFit="1" customWidth="1"/>
    <col min="10" max="10" width="26.765625" customWidth="1"/>
    <col min="11" max="11" width="24" customWidth="1"/>
  </cols>
  <sheetData>
    <row r="3" spans="1:8" x14ac:dyDescent="0.3">
      <c r="A3" s="1"/>
      <c r="B3" s="1" t="s">
        <v>212</v>
      </c>
      <c r="C3" s="11" t="s">
        <v>223</v>
      </c>
      <c r="D3" s="11" t="s">
        <v>69</v>
      </c>
      <c r="E3" s="11" t="s">
        <v>70</v>
      </c>
      <c r="F3" s="11" t="s">
        <v>246</v>
      </c>
      <c r="G3" s="11" t="s">
        <v>245</v>
      </c>
      <c r="H3" s="11" t="s">
        <v>255</v>
      </c>
    </row>
    <row r="5" spans="1:8" x14ac:dyDescent="0.3">
      <c r="B5" s="1" t="s">
        <v>177</v>
      </c>
      <c r="C5" s="3">
        <f>SUM(C6:C12)</f>
        <v>12</v>
      </c>
      <c r="F5">
        <f>IF(EngagementWeightage&lt;=100, Project_Initiation_and_Planning,IF(EngagementWeightage&lt;=120,Project_Initiation_and_Planning+4,IF(EngagementWeightage&lt;=160, Project_Initiation_and_Planning+6,Project_Initiation_and_Planning+8)))</f>
        <v>18</v>
      </c>
      <c r="G5">
        <f>SUM(F5:F12)</f>
        <v>18</v>
      </c>
      <c r="H5">
        <f>G5/8</f>
        <v>2.25</v>
      </c>
    </row>
    <row r="6" spans="1:8" x14ac:dyDescent="0.3">
      <c r="B6" t="s">
        <v>178</v>
      </c>
      <c r="C6" s="2">
        <v>1</v>
      </c>
      <c r="D6" s="3" t="s">
        <v>67</v>
      </c>
    </row>
    <row r="7" spans="1:8" x14ac:dyDescent="0.3">
      <c r="B7" t="s">
        <v>179</v>
      </c>
      <c r="C7" s="2">
        <v>1</v>
      </c>
      <c r="D7" s="3" t="s">
        <v>67</v>
      </c>
    </row>
    <row r="8" spans="1:8" x14ac:dyDescent="0.3">
      <c r="B8" t="s">
        <v>180</v>
      </c>
      <c r="C8" s="2">
        <v>1</v>
      </c>
      <c r="D8" s="3" t="s">
        <v>67</v>
      </c>
    </row>
    <row r="9" spans="1:8" x14ac:dyDescent="0.3">
      <c r="B9" t="s">
        <v>181</v>
      </c>
      <c r="C9" s="2">
        <v>2</v>
      </c>
      <c r="D9" s="3" t="s">
        <v>67</v>
      </c>
    </row>
    <row r="10" spans="1:8" x14ac:dyDescent="0.3">
      <c r="B10" t="s">
        <v>182</v>
      </c>
      <c r="C10" s="2">
        <v>1</v>
      </c>
      <c r="D10" s="3" t="s">
        <v>67</v>
      </c>
    </row>
    <row r="11" spans="1:8" x14ac:dyDescent="0.3">
      <c r="B11" t="s">
        <v>183</v>
      </c>
      <c r="C11" s="2">
        <v>4</v>
      </c>
      <c r="D11" s="3" t="s">
        <v>67</v>
      </c>
    </row>
    <row r="12" spans="1:8" x14ac:dyDescent="0.3">
      <c r="B12" t="s">
        <v>184</v>
      </c>
      <c r="C12" s="2">
        <v>2</v>
      </c>
      <c r="D12" s="3" t="s">
        <v>67</v>
      </c>
    </row>
    <row r="13" spans="1:8" x14ac:dyDescent="0.3">
      <c r="C13" s="3"/>
    </row>
    <row r="14" spans="1:8" x14ac:dyDescent="0.3">
      <c r="B14" s="1" t="s">
        <v>185</v>
      </c>
      <c r="C14" s="3">
        <f>SUM(C15:C16)</f>
        <v>6</v>
      </c>
      <c r="F14">
        <f>C14</f>
        <v>6</v>
      </c>
      <c r="G14">
        <f>SUM(F14:F16)</f>
        <v>6</v>
      </c>
      <c r="H14">
        <f t="shared" ref="H14:H70" si="0">G14/8</f>
        <v>0.75</v>
      </c>
    </row>
    <row r="15" spans="1:8" x14ac:dyDescent="0.3">
      <c r="B15" t="s">
        <v>187</v>
      </c>
      <c r="C15" s="2">
        <v>2</v>
      </c>
      <c r="D15" s="3" t="s">
        <v>67</v>
      </c>
    </row>
    <row r="16" spans="1:8" x14ac:dyDescent="0.3">
      <c r="B16" t="s">
        <v>186</v>
      </c>
      <c r="C16" s="2">
        <v>4</v>
      </c>
      <c r="D16" s="3" t="str">
        <f>IF(_xlfn.XLOOKUP("Number of Users", FeatureCleanRange, [0]!InScopeFlagRange, 0)=1, "YES", "NO")</f>
        <v>YES</v>
      </c>
      <c r="E16" s="3">
        <f>IF(D16="YES",'Scope Definition'!D51,0)</f>
        <v>20</v>
      </c>
      <c r="F16">
        <f>IF(E16&gt;50,8,0)</f>
        <v>0</v>
      </c>
    </row>
    <row r="17" spans="2:8" x14ac:dyDescent="0.3">
      <c r="C17" s="3"/>
    </row>
    <row r="18" spans="2:8" x14ac:dyDescent="0.3">
      <c r="B18" s="1" t="s">
        <v>271</v>
      </c>
      <c r="C18" s="3">
        <f>SUM(C19:C26)</f>
        <v>32</v>
      </c>
      <c r="F18">
        <f>IF(EngagementWeightage&lt;=100, Requirement_Gathering,IF(EngagementWeightage&lt;=120,Requirement_Gathering+8,IF(EngagementWeightage&lt;=160, Requirement_Gathering+12,Requirement_Gathering+16)))</f>
        <v>44</v>
      </c>
      <c r="G18">
        <f>SUM(F18)</f>
        <v>44</v>
      </c>
      <c r="H18">
        <f t="shared" si="0"/>
        <v>5.5</v>
      </c>
    </row>
    <row r="19" spans="2:8" x14ac:dyDescent="0.3">
      <c r="B19" t="s">
        <v>188</v>
      </c>
      <c r="C19" s="2">
        <v>8</v>
      </c>
      <c r="D19" s="3" t="s">
        <v>67</v>
      </c>
    </row>
    <row r="20" spans="2:8" x14ac:dyDescent="0.3">
      <c r="B20" t="s">
        <v>189</v>
      </c>
      <c r="C20" s="2">
        <v>4</v>
      </c>
      <c r="D20" s="3" t="s">
        <v>67</v>
      </c>
    </row>
    <row r="21" spans="2:8" x14ac:dyDescent="0.3">
      <c r="B21" t="s">
        <v>190</v>
      </c>
      <c r="C21" s="2">
        <v>4</v>
      </c>
      <c r="D21" s="3" t="s">
        <v>67</v>
      </c>
    </row>
    <row r="22" spans="2:8" x14ac:dyDescent="0.3">
      <c r="B22" t="s">
        <v>191</v>
      </c>
      <c r="C22" s="2">
        <v>4</v>
      </c>
      <c r="D22" s="3" t="s">
        <v>67</v>
      </c>
    </row>
    <row r="23" spans="2:8" x14ac:dyDescent="0.3">
      <c r="B23" t="s">
        <v>192</v>
      </c>
      <c r="C23" s="2">
        <v>2</v>
      </c>
      <c r="D23" s="3" t="s">
        <v>67</v>
      </c>
    </row>
    <row r="24" spans="2:8" x14ac:dyDescent="0.3">
      <c r="B24" t="s">
        <v>193</v>
      </c>
      <c r="C24" s="2">
        <v>4</v>
      </c>
      <c r="D24" s="3" t="s">
        <v>67</v>
      </c>
    </row>
    <row r="25" spans="2:8" x14ac:dyDescent="0.3">
      <c r="B25" t="s">
        <v>194</v>
      </c>
      <c r="C25" s="2">
        <v>4</v>
      </c>
      <c r="D25" s="3" t="s">
        <v>67</v>
      </c>
    </row>
    <row r="26" spans="2:8" x14ac:dyDescent="0.3">
      <c r="B26" t="s">
        <v>195</v>
      </c>
      <c r="C26" s="2">
        <v>2</v>
      </c>
      <c r="D26" s="3" t="s">
        <v>67</v>
      </c>
    </row>
    <row r="27" spans="2:8" x14ac:dyDescent="0.3">
      <c r="C27" s="3"/>
    </row>
    <row r="28" spans="2:8" x14ac:dyDescent="0.3">
      <c r="B28" s="1" t="s">
        <v>196</v>
      </c>
      <c r="C28" s="3">
        <f>SUM(C29:C33)</f>
        <v>26</v>
      </c>
      <c r="F28">
        <f>IF(EngagementWeightage&lt;=100, Design,IF(EngagementWeightage&lt;=120,Design+8,IF(EngagementWeightage&lt;=160, Design+16,Design+24)))</f>
        <v>42</v>
      </c>
      <c r="G28">
        <f>SUM(F28:F33)</f>
        <v>42</v>
      </c>
      <c r="H28">
        <f t="shared" si="0"/>
        <v>5.25</v>
      </c>
    </row>
    <row r="29" spans="2:8" x14ac:dyDescent="0.3">
      <c r="B29" t="s">
        <v>88</v>
      </c>
      <c r="C29" s="2">
        <v>8</v>
      </c>
      <c r="D29" s="3" t="s">
        <v>67</v>
      </c>
    </row>
    <row r="30" spans="2:8" x14ac:dyDescent="0.3">
      <c r="B30" t="s">
        <v>225</v>
      </c>
      <c r="C30" s="2">
        <v>8</v>
      </c>
      <c r="D30" s="3" t="s">
        <v>67</v>
      </c>
    </row>
    <row r="31" spans="2:8" x14ac:dyDescent="0.3">
      <c r="B31" t="s">
        <v>197</v>
      </c>
      <c r="C31" s="2">
        <v>4</v>
      </c>
      <c r="D31" s="3" t="s">
        <v>67</v>
      </c>
    </row>
    <row r="32" spans="2:8" x14ac:dyDescent="0.3">
      <c r="B32" t="s">
        <v>198</v>
      </c>
      <c r="C32" s="2">
        <v>4</v>
      </c>
      <c r="D32" s="3" t="s">
        <v>67</v>
      </c>
    </row>
    <row r="33" spans="2:8" x14ac:dyDescent="0.3">
      <c r="B33" t="s">
        <v>199</v>
      </c>
      <c r="C33" s="2">
        <v>2</v>
      </c>
      <c r="D33" s="3" t="s">
        <v>67</v>
      </c>
    </row>
    <row r="34" spans="2:8" x14ac:dyDescent="0.3">
      <c r="C34" s="3"/>
    </row>
    <row r="35" spans="2:8" x14ac:dyDescent="0.3">
      <c r="B35" s="1" t="s">
        <v>200</v>
      </c>
      <c r="C35" s="3">
        <f>SUM(C36:C51)</f>
        <v>88</v>
      </c>
      <c r="F35">
        <f>IF(EngagementWeightage&lt;=100, Build_and_Configure,IF(EngagementWeightage&lt;=120,Build_and_Configure+8,IF(EngagementWeightage&lt;=160, Build_and_Configure+16,Build_and_Configure+24)))</f>
        <v>104</v>
      </c>
      <c r="G35">
        <f>SUM(F35:F51)</f>
        <v>148</v>
      </c>
      <c r="H35">
        <f>G35/8</f>
        <v>18.5</v>
      </c>
    </row>
    <row r="36" spans="2:8" x14ac:dyDescent="0.3">
      <c r="B36" t="s">
        <v>201</v>
      </c>
      <c r="C36" s="2">
        <v>2</v>
      </c>
      <c r="D36" s="3" t="s">
        <v>67</v>
      </c>
    </row>
    <row r="37" spans="2:8" x14ac:dyDescent="0.3">
      <c r="B37" t="s">
        <v>76</v>
      </c>
      <c r="C37" s="2">
        <v>16</v>
      </c>
      <c r="D37" s="3" t="str">
        <f>IF(_xlfn.XLOOKUP(B37, FeatureCleanRange, [0]!InScopeFlagRange, 0)=1, "YES", "NO")</f>
        <v>YES</v>
      </c>
    </row>
    <row r="38" spans="2:8" x14ac:dyDescent="0.3">
      <c r="B38" t="s">
        <v>93</v>
      </c>
      <c r="C38" s="2">
        <v>8</v>
      </c>
      <c r="D38" s="3" t="str">
        <f>IF(_xlfn.XLOOKUP(B38, FeatureCleanRange, [0]!InScopeFlagRange, 0)=1, "YES", "NO")</f>
        <v>YES</v>
      </c>
      <c r="E38" s="3">
        <f>IF(D38="YES",'Scope Definition'!D7,0)</f>
        <v>2</v>
      </c>
      <c r="F38">
        <f>C38*E38</f>
        <v>16</v>
      </c>
    </row>
    <row r="39" spans="2:8" x14ac:dyDescent="0.3">
      <c r="B39" t="s">
        <v>138</v>
      </c>
      <c r="C39" s="2">
        <v>24</v>
      </c>
      <c r="D39" s="3" t="str">
        <f>IF(_xlfn.XLOOKUP(B39, FeatureCleanRange, [0]!InScopeFlagRange, 0)=1, "YES", "NO")</f>
        <v>YES</v>
      </c>
    </row>
    <row r="40" spans="2:8" x14ac:dyDescent="0.3">
      <c r="B40" t="s">
        <v>226</v>
      </c>
      <c r="C40" s="2">
        <v>1</v>
      </c>
      <c r="D40" s="3" t="str">
        <f>IF(_xlfn.XLOOKUP(B40, FeatureCleanRange, [0]!InScopeFlagRange, 0)=1, "YES", "NO")</f>
        <v>NO</v>
      </c>
      <c r="E40" s="3">
        <f>IF(D40="YES",'Scope Definition'!D9,0)</f>
        <v>0</v>
      </c>
      <c r="F40">
        <f t="shared" ref="F40:F51" si="1">C40*E40</f>
        <v>0</v>
      </c>
    </row>
    <row r="41" spans="2:8" x14ac:dyDescent="0.3">
      <c r="B41" t="s">
        <v>139</v>
      </c>
      <c r="C41" s="2">
        <v>0.5</v>
      </c>
      <c r="D41" s="3" t="str">
        <f>IF(_xlfn.XLOOKUP(B41, FeatureCleanRange, [0]!InScopeFlagRange, 0)=1, "YES", "NO")</f>
        <v>YES</v>
      </c>
      <c r="E41" s="3">
        <f>IF(D41="YES",'Scope Definition'!D10,0)</f>
        <v>2</v>
      </c>
      <c r="F41">
        <f t="shared" si="1"/>
        <v>1</v>
      </c>
    </row>
    <row r="42" spans="2:8" x14ac:dyDescent="0.3">
      <c r="B42" t="s">
        <v>77</v>
      </c>
      <c r="C42" s="2">
        <v>0.5</v>
      </c>
      <c r="D42" s="3" t="s">
        <v>67</v>
      </c>
    </row>
    <row r="43" spans="2:8" x14ac:dyDescent="0.3">
      <c r="B43" t="s">
        <v>78</v>
      </c>
      <c r="C43" s="2">
        <v>8</v>
      </c>
      <c r="D43" s="3" t="str">
        <f>IF(_xlfn.XLOOKUP(B43, FeatureCleanRange, [0]!InScopeFlagRange, 0)=1, "YES", "NO")</f>
        <v>YES</v>
      </c>
    </row>
    <row r="44" spans="2:8" x14ac:dyDescent="0.3">
      <c r="B44" t="s">
        <v>270</v>
      </c>
      <c r="C44" s="2">
        <v>8</v>
      </c>
      <c r="D44" s="3" t="str">
        <f>IF(_xlfn.XLOOKUP(B44, FeatureCleanRange, [0]!InScopeFlagRange, 0)=1, "YES", "NO")</f>
        <v>NO</v>
      </c>
    </row>
    <row r="45" spans="2:8" x14ac:dyDescent="0.3">
      <c r="B45" t="s">
        <v>94</v>
      </c>
      <c r="C45" s="2">
        <v>4</v>
      </c>
      <c r="D45" s="3" t="str">
        <f>IF(_xlfn.XLOOKUP(B45, FeatureCleanRange, [0]!InScopeFlagRange, 0)=1, "YES", "NO")</f>
        <v>YES</v>
      </c>
      <c r="E45" s="3">
        <f>IF(D45="YES",'Scope Definition'!D13,0)</f>
        <v>2</v>
      </c>
      <c r="F45">
        <f t="shared" si="1"/>
        <v>8</v>
      </c>
    </row>
    <row r="46" spans="2:8" x14ac:dyDescent="0.3">
      <c r="B46" t="s">
        <v>79</v>
      </c>
      <c r="C46" s="2">
        <v>4</v>
      </c>
      <c r="D46" s="3" t="s">
        <v>67</v>
      </c>
    </row>
    <row r="47" spans="2:8" x14ac:dyDescent="0.3">
      <c r="B47" t="s">
        <v>80</v>
      </c>
      <c r="C47" s="2">
        <v>1</v>
      </c>
      <c r="D47" s="3" t="str">
        <f>IF(_xlfn.XLOOKUP(B47, FeatureCleanRange, [0]!InScopeFlagRange, 0)=1, "YES", "NO")</f>
        <v>YES</v>
      </c>
      <c r="E47" s="3">
        <f>IF(D47="YES",'Scope Definition'!D14,0)</f>
        <v>2</v>
      </c>
      <c r="F47">
        <f t="shared" si="1"/>
        <v>2</v>
      </c>
    </row>
    <row r="48" spans="2:8" x14ac:dyDescent="0.3">
      <c r="B48" t="s">
        <v>81</v>
      </c>
      <c r="C48" s="2">
        <v>2</v>
      </c>
      <c r="D48" s="3" t="str">
        <f>IF(_xlfn.XLOOKUP(B48, FeatureCleanRange, [0]!InScopeFlagRange, 0)=1, "YES", "NO")</f>
        <v>YES</v>
      </c>
    </row>
    <row r="49" spans="2:8" x14ac:dyDescent="0.3">
      <c r="B49" t="s">
        <v>95</v>
      </c>
      <c r="C49" s="2">
        <v>4</v>
      </c>
      <c r="D49" s="3" t="str">
        <f>IF(_xlfn.XLOOKUP(B49, FeatureCleanRange, [0]!InScopeFlagRange, 0)=1, "YES", "NO")</f>
        <v>YES</v>
      </c>
      <c r="E49" s="3">
        <f>IF(D49="YES",'Scope Definition'!D16,0)</f>
        <v>2</v>
      </c>
      <c r="F49">
        <f t="shared" si="1"/>
        <v>8</v>
      </c>
    </row>
    <row r="50" spans="2:8" x14ac:dyDescent="0.3">
      <c r="B50" t="s">
        <v>96</v>
      </c>
      <c r="C50" s="2">
        <v>4</v>
      </c>
      <c r="D50" s="3" t="str">
        <f>IF(_xlfn.XLOOKUP(B50, FeatureCleanRange, [0]!InScopeFlagRange, 0)=1, "YES", "NO")</f>
        <v>YES</v>
      </c>
      <c r="E50" s="3">
        <f>IF(D50="YES",'Scope Definition'!D17,0)</f>
        <v>2</v>
      </c>
      <c r="F50">
        <f t="shared" si="1"/>
        <v>8</v>
      </c>
    </row>
    <row r="51" spans="2:8" x14ac:dyDescent="0.3">
      <c r="B51" t="s">
        <v>97</v>
      </c>
      <c r="C51" s="2">
        <v>1</v>
      </c>
      <c r="D51" s="3" t="str">
        <f>IF(_xlfn.XLOOKUP(B51, FeatureCleanRange, [0]!InScopeFlagRange, 0)=1, "YES", "NO")</f>
        <v>YES</v>
      </c>
      <c r="E51" s="3">
        <f>IF(D51="YES",'Scope Definition'!D18,0)</f>
        <v>1</v>
      </c>
      <c r="F51">
        <f t="shared" si="1"/>
        <v>1</v>
      </c>
    </row>
    <row r="52" spans="2:8" x14ac:dyDescent="0.3">
      <c r="C52" s="3"/>
    </row>
    <row r="53" spans="2:8" x14ac:dyDescent="0.3">
      <c r="B53" s="1" t="s">
        <v>203</v>
      </c>
      <c r="C53" s="3">
        <f>SUM(C54:C68)</f>
        <v>79.5</v>
      </c>
      <c r="F53">
        <f>IF(EngagementWeightage&lt;=100, AppFeatures,IF(EngagementWeightage&lt;=120,AppFeatures+8,IF(EngagementWeightage&lt;=160, AppFeatures+16,AppFeatures+24)))</f>
        <v>95.5</v>
      </c>
      <c r="G53">
        <f>SUM(F53:F68)</f>
        <v>96.5</v>
      </c>
      <c r="H53">
        <f t="shared" si="0"/>
        <v>12.0625</v>
      </c>
    </row>
    <row r="54" spans="2:8" x14ac:dyDescent="0.3">
      <c r="B54" t="s">
        <v>98</v>
      </c>
      <c r="C54" s="2">
        <v>0.5</v>
      </c>
      <c r="D54" s="3" t="str">
        <f>IF(_xlfn.XLOOKUP(B54, FeatureCleanRange, [0]!InScopeFlagRange, 0)=1, "YES", "NO")</f>
        <v>YES</v>
      </c>
    </row>
    <row r="55" spans="2:8" x14ac:dyDescent="0.3">
      <c r="B55" t="s">
        <v>10</v>
      </c>
      <c r="C55" s="2">
        <v>1</v>
      </c>
      <c r="D55" s="3" t="str">
        <f>IF(_xlfn.XLOOKUP(B55, FeatureCleanRange, [0]!InScopeFlagRange, 0)=1, "YES", "NO")</f>
        <v>YES</v>
      </c>
    </row>
    <row r="56" spans="2:8" x14ac:dyDescent="0.3">
      <c r="B56" t="s">
        <v>99</v>
      </c>
      <c r="C56" s="2">
        <v>1</v>
      </c>
      <c r="D56" s="3" t="str">
        <f>IF(_xlfn.XLOOKUP(B56, FeatureCleanRange, [0]!InScopeFlagRange, 0)=1, "YES", "NO")</f>
        <v>YES</v>
      </c>
      <c r="E56" s="3">
        <f>IF(D56="YES",'Scope Definition'!D24,0)</f>
        <v>1</v>
      </c>
      <c r="F56">
        <f>C56*E56</f>
        <v>1</v>
      </c>
    </row>
    <row r="57" spans="2:8" x14ac:dyDescent="0.3">
      <c r="B57" t="s">
        <v>9</v>
      </c>
      <c r="C57" s="2">
        <v>4</v>
      </c>
      <c r="D57" s="3" t="str">
        <f>IF(_xlfn.XLOOKUP(B57, FeatureCleanRange, [0]!InScopeFlagRange, 0)=1, "YES", "NO")</f>
        <v>NO</v>
      </c>
    </row>
    <row r="58" spans="2:8" x14ac:dyDescent="0.3">
      <c r="B58" t="s">
        <v>102</v>
      </c>
      <c r="C58" s="2">
        <v>4</v>
      </c>
      <c r="D58" s="3" t="str">
        <f>IF(_xlfn.XLOOKUP(B58, FeatureCleanRange, [0]!InScopeFlagRange, 0)=1, "YES", "NO")</f>
        <v>NO</v>
      </c>
    </row>
    <row r="59" spans="2:8" x14ac:dyDescent="0.3">
      <c r="B59" t="s">
        <v>100</v>
      </c>
      <c r="C59" s="2">
        <v>8</v>
      </c>
      <c r="D59" s="3" t="str">
        <f>IF(_xlfn.XLOOKUP(B59, FeatureCleanRange, [0]!InScopeFlagRange, 0)=1, "YES", "NO")</f>
        <v>NO</v>
      </c>
    </row>
    <row r="60" spans="2:8" x14ac:dyDescent="0.3">
      <c r="B60" t="s">
        <v>101</v>
      </c>
      <c r="C60" s="2">
        <v>8</v>
      </c>
      <c r="D60" s="3" t="str">
        <f>IF(_xlfn.XLOOKUP(B60, FeatureCleanRange, [0]!InScopeFlagRange, 0)=1, "YES", "NO")</f>
        <v>NO</v>
      </c>
    </row>
    <row r="61" spans="2:8" x14ac:dyDescent="0.3">
      <c r="B61" t="s">
        <v>206</v>
      </c>
      <c r="C61" s="2">
        <v>8</v>
      </c>
      <c r="D61" s="3" t="str">
        <f>IF(_xlfn.XLOOKUP(B61, FeatureCleanRange, [0]!InScopeFlagRange, 0)=1, "YES", "NO")</f>
        <v>NO</v>
      </c>
      <c r="E61" s="3">
        <f>IF(D61="YES",'Scope Definition'!D30,0)</f>
        <v>0</v>
      </c>
      <c r="F61">
        <f>C61*E61</f>
        <v>0</v>
      </c>
    </row>
    <row r="62" spans="2:8" x14ac:dyDescent="0.3">
      <c r="B62" t="s">
        <v>103</v>
      </c>
      <c r="C62" s="2">
        <v>8</v>
      </c>
      <c r="D62" s="3" t="str">
        <f>IF(_xlfn.XLOOKUP(B62, FeatureCleanRange, [0]!InScopeFlagRange, 0)=1, "YES", "NO")</f>
        <v>YES</v>
      </c>
    </row>
    <row r="63" spans="2:8" x14ac:dyDescent="0.3">
      <c r="B63" t="s">
        <v>104</v>
      </c>
      <c r="C63" s="2">
        <v>8</v>
      </c>
      <c r="D63" s="3" t="str">
        <f>IF(_xlfn.XLOOKUP(B63, FeatureCleanRange, [0]!InScopeFlagRange, 0)=1, "YES", "NO")</f>
        <v>NO</v>
      </c>
    </row>
    <row r="64" spans="2:8" x14ac:dyDescent="0.3">
      <c r="B64" t="s">
        <v>105</v>
      </c>
      <c r="C64" s="2">
        <v>8</v>
      </c>
      <c r="D64" s="3" t="str">
        <f>IF(_xlfn.XLOOKUP(B64, FeatureCleanRange, [0]!InScopeFlagRange, 0)=1, "YES", "NO")</f>
        <v>NO</v>
      </c>
    </row>
    <row r="65" spans="1:10" x14ac:dyDescent="0.3">
      <c r="B65" t="s">
        <v>11</v>
      </c>
      <c r="C65" s="2">
        <v>8</v>
      </c>
      <c r="D65" s="3" t="str">
        <f>IF(_xlfn.XLOOKUP(B65, FeatureCleanRange, [0]!InScopeFlagRange, 0)=1, "YES", "NO")</f>
        <v>YES</v>
      </c>
    </row>
    <row r="66" spans="1:10" x14ac:dyDescent="0.3">
      <c r="B66" t="s">
        <v>213</v>
      </c>
      <c r="C66" s="2">
        <v>4</v>
      </c>
      <c r="D66" s="3" t="str">
        <f>IF(_xlfn.XLOOKUP(B66, FeatureCleanRange, [0]!InScopeFlagRange, 0)=1, "YES", "NO")</f>
        <v>YES</v>
      </c>
    </row>
    <row r="67" spans="1:10" x14ac:dyDescent="0.3">
      <c r="B67" t="s">
        <v>106</v>
      </c>
      <c r="C67" s="2">
        <v>8</v>
      </c>
      <c r="D67" s="3" t="str">
        <f>IF(_xlfn.XLOOKUP(B67, FeatureCleanRange, [0]!InScopeFlagRange, 0)=1, "YES", "NO")</f>
        <v>NO</v>
      </c>
    </row>
    <row r="68" spans="1:10" x14ac:dyDescent="0.3">
      <c r="B68" t="s">
        <v>168</v>
      </c>
      <c r="C68" s="2">
        <v>1</v>
      </c>
      <c r="D68" s="3" t="str">
        <f>IF(_xlfn.XLOOKUP(B68, FeatureCleanRange, [0]!InScopeFlagRange, 0)=1, "YES", "NO")</f>
        <v>YES</v>
      </c>
    </row>
    <row r="69" spans="1:10" x14ac:dyDescent="0.3">
      <c r="C69" s="3"/>
    </row>
    <row r="70" spans="1:10" x14ac:dyDescent="0.3">
      <c r="B70" s="1" t="s">
        <v>215</v>
      </c>
      <c r="C70" s="3">
        <f>SUM(C71:C72)</f>
        <v>8</v>
      </c>
      <c r="F70">
        <f>IF(EngagementWeightage&lt;=100, AppCustomization,IF(EngagementWeightage&lt;=120,AppCustomization+8,IF(EngagementWeightage&lt;=160,AppCustomization+12,AppCustomization+16)))</f>
        <v>20</v>
      </c>
      <c r="G70">
        <f>SUM(F70:F72)</f>
        <v>72</v>
      </c>
      <c r="H70">
        <f t="shared" si="0"/>
        <v>9</v>
      </c>
      <c r="J70" t="s">
        <v>283</v>
      </c>
    </row>
    <row r="71" spans="1:10" x14ac:dyDescent="0.3">
      <c r="A71" s="1"/>
      <c r="B71" t="s">
        <v>4</v>
      </c>
      <c r="C71" s="2">
        <v>4</v>
      </c>
      <c r="D71" s="3" t="str">
        <f>IF(_xlfn.XLOOKUP(B71, FeatureCleanRange, InScopeFlagRange, 0)=1, "YES", "NO")</f>
        <v>YES</v>
      </c>
      <c r="E71" s="3">
        <f>IF(D71="YES",'Scope Definition'!D40,0)</f>
        <v>5</v>
      </c>
      <c r="F71">
        <f>ROUND(E71*0.5,0)*8 + ROUND(E71*0.25,0)*12 + ROUND(E71*0.25,0)*16</f>
        <v>52</v>
      </c>
      <c r="J71" t="s">
        <v>284</v>
      </c>
    </row>
    <row r="72" spans="1:10" x14ac:dyDescent="0.3">
      <c r="A72" s="1"/>
      <c r="B72" t="s">
        <v>108</v>
      </c>
      <c r="C72" s="2">
        <v>4</v>
      </c>
      <c r="D72" s="3" t="str">
        <f>IF(_xlfn.XLOOKUP(B72, FeatureCleanRange, [0]!InScopeFlagRange, 0)=1, "YES", "NO")</f>
        <v>NO</v>
      </c>
      <c r="E72" s="3">
        <f>IF(D72="YES",'Scope Definition'!D41,0)</f>
        <v>0</v>
      </c>
      <c r="F72">
        <f>ROUND(E72*0.5,0)*8 + ROUND(E72*0.25,0)*12 + ROUND(E72*0.25,0)*16</f>
        <v>0</v>
      </c>
      <c r="J72" t="s">
        <v>285</v>
      </c>
    </row>
    <row r="73" spans="1:10" x14ac:dyDescent="0.3">
      <c r="C73" s="3"/>
    </row>
    <row r="74" spans="1:10" x14ac:dyDescent="0.3">
      <c r="B74" s="1" t="s">
        <v>204</v>
      </c>
      <c r="C74" s="3">
        <f>SUM(C75:C78)</f>
        <v>15</v>
      </c>
      <c r="F74">
        <f>IF(EngagementWeightage&lt;=100, Calculations,IF(EngagementWeightage&lt;=120,Calculations+8,IF(EngagementWeightage&lt;=160,Calculations+12,Calculations+16)))</f>
        <v>27</v>
      </c>
      <c r="G74">
        <f>SUM(F74:F78)</f>
        <v>126</v>
      </c>
      <c r="H74">
        <f t="shared" ref="H74:H128" si="2">G74/8</f>
        <v>15.75</v>
      </c>
      <c r="J74" t="s">
        <v>288</v>
      </c>
    </row>
    <row r="75" spans="1:10" x14ac:dyDescent="0.3">
      <c r="A75" s="1"/>
      <c r="B75" t="s">
        <v>286</v>
      </c>
      <c r="C75" s="2">
        <v>8</v>
      </c>
      <c r="D75" s="3" t="str">
        <f>IF(_xlfn.XLOOKUP(B75, FeatureCleanRange, InScopeFlagRange, 0)=1, "YES", "NO")</f>
        <v>YES</v>
      </c>
      <c r="E75" s="3">
        <f>IF(D75="YES",'Scope Definition'!D44,0)</f>
        <v>3</v>
      </c>
      <c r="F75">
        <f>ROUND(E75*0.5,0)*8 + ROUND(E75*0.25,0)*12 + ROUND(E75*0.25,0)*16</f>
        <v>44</v>
      </c>
      <c r="J75" t="s">
        <v>289</v>
      </c>
    </row>
    <row r="76" spans="1:10" x14ac:dyDescent="0.3">
      <c r="A76" s="1"/>
      <c r="B76" t="s">
        <v>107</v>
      </c>
      <c r="C76" s="2">
        <v>1</v>
      </c>
      <c r="D76" s="3" t="str">
        <f>IF(_xlfn.XLOOKUP(B76, FeatureCleanRange, [0]!InScopeFlagRange, 0)=1, "YES", "NO")</f>
        <v>YES</v>
      </c>
      <c r="E76" s="3">
        <f>IF(D76="YES",'Scope Definition'!D45,0)</f>
        <v>20</v>
      </c>
      <c r="F76">
        <f>ROUND(E76*0.5,0)*2 + ROUND(E76*0.25,0)*3 + ROUND(E76*0.25,0)*4</f>
        <v>55</v>
      </c>
      <c r="J76" t="s">
        <v>290</v>
      </c>
    </row>
    <row r="77" spans="1:10" x14ac:dyDescent="0.3">
      <c r="A77" s="1"/>
      <c r="B77" t="s">
        <v>205</v>
      </c>
      <c r="C77" s="2">
        <v>4</v>
      </c>
      <c r="D77" s="3" t="str">
        <f>IF(_xlfn.XLOOKUP(B77, FeatureCleanRange, [0]!InScopeFlagRange, 0)=1, "YES", "NO")</f>
        <v>YES</v>
      </c>
    </row>
    <row r="78" spans="1:10" x14ac:dyDescent="0.3">
      <c r="A78" s="1"/>
      <c r="B78" t="s">
        <v>287</v>
      </c>
      <c r="C78" s="2">
        <v>2</v>
      </c>
      <c r="D78" s="3" t="str">
        <f>IF(_xlfn.XLOOKUP(B78, FeatureCleanRange, [0]!InScopeFlagRange, 0)=1, "YES", "NO")</f>
        <v>NO</v>
      </c>
      <c r="E78" s="3">
        <f>IF(D78="YES",'Scope Definition'!D47,0)</f>
        <v>0</v>
      </c>
      <c r="F78">
        <f>ROUND(E78*0.5,0)*2 + ROUND(E78*0.25,0)*4 + ROUND(E78*0.25,0)*4</f>
        <v>0</v>
      </c>
    </row>
    <row r="79" spans="1:10" x14ac:dyDescent="0.3">
      <c r="B79" s="1"/>
      <c r="C79" s="3"/>
    </row>
    <row r="80" spans="1:10" x14ac:dyDescent="0.3">
      <c r="B80" s="1" t="s">
        <v>37</v>
      </c>
      <c r="C80" s="3">
        <f>SUM(C81:C82)</f>
        <v>4</v>
      </c>
      <c r="F80">
        <f>IF(EngagementWeightage&lt;=100, Security,IF(EngagementWeightage&lt;=120,Security+8,IF(EngagementWeightage&lt;=160,Security+12,Security+16)))</f>
        <v>16</v>
      </c>
      <c r="G80">
        <f>SUM(F80:F82)</f>
        <v>24</v>
      </c>
      <c r="H80">
        <f t="shared" si="2"/>
        <v>3</v>
      </c>
    </row>
    <row r="81" spans="1:10" x14ac:dyDescent="0.3">
      <c r="A81" s="1"/>
      <c r="B81" t="s">
        <v>224</v>
      </c>
      <c r="C81" s="2">
        <v>2</v>
      </c>
      <c r="D81" s="3" t="str">
        <f>IF(_xlfn.XLOOKUP(B81, FeatureCleanRange, [0]!InScopeFlagRange, 0)=1, "YES", "NO")</f>
        <v>YES</v>
      </c>
      <c r="E81" s="3">
        <f>IF(D81="YES",'Scope Definition'!D50,0)</f>
        <v>1</v>
      </c>
      <c r="F81">
        <f>E81*4</f>
        <v>4</v>
      </c>
    </row>
    <row r="82" spans="1:10" x14ac:dyDescent="0.3">
      <c r="A82" s="1"/>
      <c r="B82" t="s">
        <v>109</v>
      </c>
      <c r="C82" s="2">
        <v>2</v>
      </c>
      <c r="D82" s="3" t="str">
        <f>IF(_xlfn.XLOOKUP(B82, FeatureCleanRange, InScopeFlagRange, 0)=1, "YES", "NO")</f>
        <v>YES</v>
      </c>
      <c r="E82" s="3">
        <f>IF(D82="YES",'Scope Definition'!D51,0)</f>
        <v>20</v>
      </c>
      <c r="F82">
        <f>E82*0.2</f>
        <v>4</v>
      </c>
    </row>
    <row r="83" spans="1:10" x14ac:dyDescent="0.3">
      <c r="C83" s="3"/>
    </row>
    <row r="84" spans="1:10" x14ac:dyDescent="0.3">
      <c r="B84" s="1" t="s">
        <v>39</v>
      </c>
      <c r="C84" s="3">
        <f>SUM(C85:C88)</f>
        <v>60</v>
      </c>
      <c r="F84">
        <f>IF(EngagementWeightage&lt;=100, HistData,IF(EngagementWeightage&lt;=120,HistData+8,IF(EngagementWeightage&lt;=160,HistData+12,HistData+16)))</f>
        <v>72</v>
      </c>
      <c r="G84">
        <f>SUM(F84:F88)</f>
        <v>552</v>
      </c>
      <c r="H84">
        <f t="shared" si="2"/>
        <v>69</v>
      </c>
    </row>
    <row r="85" spans="1:10" x14ac:dyDescent="0.3">
      <c r="A85" s="1"/>
      <c r="B85" t="s">
        <v>21</v>
      </c>
      <c r="C85" s="2" t="s">
        <v>291</v>
      </c>
      <c r="D85" s="3" t="str">
        <f>IF(_xlfn.XLOOKUP(B85, FeatureCleanRange, [0]!InScopeFlagRange, 0)=1, "YES", "NO")</f>
        <v>YES</v>
      </c>
      <c r="E85" s="3">
        <f>IF(D85="YES",'Scope Definition'!D54,0)</f>
        <v>2</v>
      </c>
      <c r="F85">
        <f>(15 +(E85+1) * 10)*8</f>
        <v>360</v>
      </c>
      <c r="J85" t="s">
        <v>292</v>
      </c>
    </row>
    <row r="86" spans="1:10" x14ac:dyDescent="0.3">
      <c r="A86" s="1"/>
      <c r="B86" t="s">
        <v>122</v>
      </c>
      <c r="C86" s="2">
        <v>20</v>
      </c>
      <c r="D86" s="3" t="str">
        <f>IF(_xlfn.XLOOKUP(B86, FeatureCleanRange, [0]!InScopeFlagRange, 0)=1, "YES", "NO")</f>
        <v>YES</v>
      </c>
      <c r="E86" s="3">
        <f>IF(D86="YES",'Scope Definition'!D54,0)</f>
        <v>2</v>
      </c>
      <c r="F86">
        <f>C86*E86</f>
        <v>40</v>
      </c>
    </row>
    <row r="87" spans="1:10" x14ac:dyDescent="0.3">
      <c r="A87" s="1"/>
      <c r="B87" t="s">
        <v>123</v>
      </c>
      <c r="C87" s="2">
        <v>20</v>
      </c>
      <c r="D87" s="3" t="str">
        <f>IF(_xlfn.XLOOKUP(B87, FeatureCleanRange, [0]!InScopeFlagRange, 0)=1, "YES", "NO")</f>
        <v>YES</v>
      </c>
      <c r="E87" s="3">
        <f>'Scope Definition'!D13</f>
        <v>2</v>
      </c>
      <c r="F87">
        <f>C87*E87</f>
        <v>40</v>
      </c>
    </row>
    <row r="88" spans="1:10" x14ac:dyDescent="0.3">
      <c r="A88" s="1"/>
      <c r="B88" t="s">
        <v>207</v>
      </c>
      <c r="C88" s="2">
        <v>20</v>
      </c>
      <c r="D88" s="3" t="str">
        <f>IF(_xlfn.XLOOKUP(B88, FeatureCleanRange, [0]!InScopeFlagRange, 0)=1, "YES", "NO")</f>
        <v>YES</v>
      </c>
      <c r="E88" s="3">
        <f>IF(D88="YES",'Scope Definition'!D54,0)</f>
        <v>2</v>
      </c>
      <c r="F88">
        <f>C88*E88</f>
        <v>40</v>
      </c>
    </row>
    <row r="89" spans="1:10" x14ac:dyDescent="0.3">
      <c r="C89" s="3"/>
    </row>
    <row r="90" spans="1:10" x14ac:dyDescent="0.3">
      <c r="B90" s="1" t="s">
        <v>40</v>
      </c>
      <c r="C90" s="3">
        <f>SUM(C91:C95)</f>
        <v>80</v>
      </c>
      <c r="F90">
        <f>IF(EngagementWeightage&lt;=100, Integrations,IF(EngagementWeightage&lt;=120,Integrations+8,IF(EngagementWeightage&lt;=160,Integrations+12,Integrations+16)))</f>
        <v>92</v>
      </c>
      <c r="G90">
        <f>SUM(F90:F95)</f>
        <v>140</v>
      </c>
      <c r="H90">
        <f t="shared" si="2"/>
        <v>17.5</v>
      </c>
    </row>
    <row r="91" spans="1:10" x14ac:dyDescent="0.3">
      <c r="A91" s="1"/>
      <c r="B91" t="s">
        <v>110</v>
      </c>
      <c r="C91" s="2">
        <v>16</v>
      </c>
      <c r="D91" s="3" t="str">
        <f>IF(_xlfn.XLOOKUP(B91, FeatureCleanRange, [0]!InScopeFlagRange, 0)=1, "YES", "NO")</f>
        <v>NO</v>
      </c>
      <c r="E91" s="3">
        <f>IF(D91="YES",'Scope Definition'!D60,0)</f>
        <v>0</v>
      </c>
      <c r="F91">
        <f>E91*C91</f>
        <v>0</v>
      </c>
    </row>
    <row r="92" spans="1:10" x14ac:dyDescent="0.3">
      <c r="A92" s="1"/>
      <c r="B92" t="s">
        <v>111</v>
      </c>
      <c r="C92" s="2">
        <v>16</v>
      </c>
      <c r="D92" s="3" t="str">
        <f>IF(_xlfn.XLOOKUP(B92, FeatureCleanRange, [0]!InScopeFlagRange, 0)=1, "YES", "NO")</f>
        <v>YES</v>
      </c>
      <c r="E92" s="3">
        <f>IF(D92="YES",'Scope Definition'!D61,0)</f>
        <v>1</v>
      </c>
      <c r="F92">
        <f>E92*C92</f>
        <v>16</v>
      </c>
    </row>
    <row r="93" spans="1:10" x14ac:dyDescent="0.3">
      <c r="A93" s="1"/>
      <c r="B93" t="s">
        <v>112</v>
      </c>
      <c r="C93" s="2">
        <v>16</v>
      </c>
      <c r="D93" s="3" t="str">
        <f>IF(_xlfn.XLOOKUP(B93, FeatureCleanRange, [0]!InScopeFlagRange, 0)=1, "YES", "NO")</f>
        <v>NO</v>
      </c>
      <c r="E93" s="3">
        <f>IF(D93="YES",'Scope Definition'!D62,0)</f>
        <v>0</v>
      </c>
      <c r="F93">
        <f>E93*C93</f>
        <v>0</v>
      </c>
    </row>
    <row r="94" spans="1:10" x14ac:dyDescent="0.3">
      <c r="A94" s="1"/>
      <c r="B94" t="s">
        <v>113</v>
      </c>
      <c r="C94" s="2">
        <v>16</v>
      </c>
      <c r="D94" s="3" t="str">
        <f>IF(_xlfn.XLOOKUP(B94, FeatureCleanRange, [0]!InScopeFlagRange, 0)=1, "YES", "NO")</f>
        <v>NO</v>
      </c>
      <c r="E94" s="3">
        <f>IF(D94="YES",'Scope Definition'!D63,0)</f>
        <v>0</v>
      </c>
      <c r="F94">
        <f>E94*C94</f>
        <v>0</v>
      </c>
    </row>
    <row r="95" spans="1:10" x14ac:dyDescent="0.3">
      <c r="A95" s="1"/>
      <c r="B95" t="s">
        <v>114</v>
      </c>
      <c r="C95" s="2">
        <v>16</v>
      </c>
      <c r="D95" s="3" t="str">
        <f>IF(_xlfn.XLOOKUP(B95, FeatureCleanRange, [0]!InScopeFlagRange, 0)=1, "YES", "NO")</f>
        <v>YES</v>
      </c>
      <c r="E95" s="3">
        <f>IF(D95="YES",'Scope Definition'!D64,0)</f>
        <v>2</v>
      </c>
      <c r="F95">
        <f>E95*C95</f>
        <v>32</v>
      </c>
    </row>
    <row r="96" spans="1:10" x14ac:dyDescent="0.3">
      <c r="B96" s="1"/>
      <c r="C96" s="3"/>
    </row>
    <row r="97" spans="2:8" x14ac:dyDescent="0.3">
      <c r="B97" s="1" t="s">
        <v>46</v>
      </c>
      <c r="C97" s="3">
        <f>SUM(C98:C104)</f>
        <v>40</v>
      </c>
      <c r="F97">
        <f>IF(EngagementWeightage&lt;=100, Reporting,IF(EngagementWeightage&lt;=120,Reporting+8,IF(EngagementWeightage&lt;=160,Reporting+12,Reporting+16)))</f>
        <v>52</v>
      </c>
      <c r="G97">
        <f>SUM(F97:F104)</f>
        <v>140</v>
      </c>
      <c r="H97">
        <f t="shared" si="2"/>
        <v>17.5</v>
      </c>
    </row>
    <row r="98" spans="2:8" x14ac:dyDescent="0.3">
      <c r="B98" t="s">
        <v>119</v>
      </c>
      <c r="C98" s="2">
        <v>8</v>
      </c>
      <c r="D98" s="3" t="str">
        <f>IF(_xlfn.XLOOKUP(B98, FeatureCleanRange, [0]!InScopeFlagRange, 0)=1, "YES", "NO")</f>
        <v>YES</v>
      </c>
      <c r="E98" s="3">
        <f>IF(D98="YES",'Scope Definition'!D67,0)</f>
        <v>5</v>
      </c>
      <c r="F98">
        <f>ROUND(E98*0.5,0)*8 + ROUND(E98*0.25,0)*12 + ROUND(E98*0.25,0)*16</f>
        <v>52</v>
      </c>
    </row>
    <row r="99" spans="2:8" x14ac:dyDescent="0.3">
      <c r="B99" t="s">
        <v>13</v>
      </c>
      <c r="C99" s="2">
        <v>4</v>
      </c>
      <c r="D99" s="3" t="str">
        <f>IF(_xlfn.XLOOKUP(B99, FeatureCleanRange, [0]!InScopeFlagRange, 0)=1, "YES", "NO")</f>
        <v>NO</v>
      </c>
      <c r="E99" s="3">
        <f>IF(D99="YES",'Scope Definition'!D68,0)</f>
        <v>0</v>
      </c>
      <c r="F99">
        <f t="shared" ref="F99:F104" si="3">E99*C99</f>
        <v>0</v>
      </c>
    </row>
    <row r="100" spans="2:8" x14ac:dyDescent="0.3">
      <c r="B100" t="s">
        <v>14</v>
      </c>
      <c r="C100" s="2">
        <v>4</v>
      </c>
      <c r="D100" s="3" t="str">
        <f>IF(_xlfn.XLOOKUP(B100, FeatureCleanRange, [0]!InScopeFlagRange, 0)=1, "YES", "NO")</f>
        <v>YES</v>
      </c>
      <c r="E100" s="3">
        <f>IF(D100="YES",'Scope Definition'!D69,0)</f>
        <v>1</v>
      </c>
      <c r="F100">
        <f t="shared" si="3"/>
        <v>4</v>
      </c>
    </row>
    <row r="101" spans="2:8" x14ac:dyDescent="0.3">
      <c r="B101" t="s">
        <v>15</v>
      </c>
      <c r="C101" s="2">
        <v>8</v>
      </c>
      <c r="D101" s="3" t="str">
        <f>IF(_xlfn.XLOOKUP(B101, FeatureCleanRange, [0]!InScopeFlagRange, 0)=1, "YES", "NO")</f>
        <v>YES</v>
      </c>
      <c r="E101" s="3">
        <f>IF(D101="YES",'Scope Definition'!D70,0)</f>
        <v>1</v>
      </c>
      <c r="F101">
        <f t="shared" si="3"/>
        <v>8</v>
      </c>
    </row>
    <row r="102" spans="2:8" x14ac:dyDescent="0.3">
      <c r="B102" t="s">
        <v>16</v>
      </c>
      <c r="C102" s="2">
        <v>4</v>
      </c>
      <c r="D102" s="3" t="str">
        <f>IF(_xlfn.XLOOKUP(B102, FeatureCleanRange, [0]!InScopeFlagRange, 0)=1, "YES", "NO")</f>
        <v>NO</v>
      </c>
      <c r="E102" s="3">
        <f>IF(D102="YES",'Scope Definition'!D71,0)</f>
        <v>0</v>
      </c>
      <c r="F102">
        <f t="shared" si="3"/>
        <v>0</v>
      </c>
    </row>
    <row r="103" spans="2:8" x14ac:dyDescent="0.3">
      <c r="B103" t="s">
        <v>17</v>
      </c>
      <c r="C103" s="2">
        <v>4</v>
      </c>
      <c r="D103" s="3" t="str">
        <f>IF(_xlfn.XLOOKUP(B103, FeatureCleanRange, [0]!InScopeFlagRange, 0)=1, "YES", "NO")</f>
        <v>NO</v>
      </c>
      <c r="E103" s="3">
        <f>IF(D103="YES",'Scope Definition'!D72,0)</f>
        <v>0</v>
      </c>
      <c r="F103">
        <f t="shared" si="3"/>
        <v>0</v>
      </c>
    </row>
    <row r="104" spans="2:8" x14ac:dyDescent="0.3">
      <c r="B104" t="s">
        <v>218</v>
      </c>
      <c r="C104" s="2">
        <v>8</v>
      </c>
      <c r="D104" s="3" t="str">
        <f>IF(_xlfn.XLOOKUP(B104, FeatureCleanRange, [0]!InScopeFlagRange, 0)=1, "YES", "NO")</f>
        <v>YES</v>
      </c>
      <c r="E104" s="3">
        <f>IF(D104="YES",'Scope Definition'!D73,0)</f>
        <v>3</v>
      </c>
      <c r="F104">
        <f t="shared" si="3"/>
        <v>24</v>
      </c>
    </row>
    <row r="105" spans="2:8" x14ac:dyDescent="0.3">
      <c r="B105" t="s">
        <v>219</v>
      </c>
      <c r="C105" s="3"/>
    </row>
    <row r="106" spans="2:8" x14ac:dyDescent="0.3">
      <c r="B106" s="1" t="s">
        <v>22</v>
      </c>
      <c r="C106" s="3">
        <f>SUM(C107:C110)</f>
        <v>52</v>
      </c>
      <c r="F106">
        <f>IF(EngagementWeightage&lt;=100, Automations,IF(EngagementWeightage&lt;=120,Automations+8,IF(EngagementWeightage&lt;=160,Automations+12,Automations+16)))</f>
        <v>64</v>
      </c>
      <c r="G106">
        <f>SUM(F106:F110)</f>
        <v>64</v>
      </c>
      <c r="H106">
        <f t="shared" si="2"/>
        <v>8</v>
      </c>
    </row>
    <row r="107" spans="2:8" x14ac:dyDescent="0.3">
      <c r="B107" t="s">
        <v>115</v>
      </c>
      <c r="C107" s="2">
        <v>16</v>
      </c>
      <c r="D107" s="3" t="str">
        <f>IF(_xlfn.XLOOKUP(B107, FeatureCleanRange, [0]!InScopeFlagRange, 0)=1, "YES", "NO")</f>
        <v>YES</v>
      </c>
    </row>
    <row r="108" spans="2:8" x14ac:dyDescent="0.3">
      <c r="B108" t="s">
        <v>116</v>
      </c>
      <c r="C108" s="2">
        <v>8</v>
      </c>
      <c r="D108" s="3" t="str">
        <f>IF(_xlfn.XLOOKUP(B108, FeatureCleanRange, [0]!InScopeFlagRange, 0)=1, "YES", "NO")</f>
        <v>YES</v>
      </c>
    </row>
    <row r="109" spans="2:8" x14ac:dyDescent="0.3">
      <c r="B109" t="s">
        <v>82</v>
      </c>
      <c r="C109" s="2">
        <v>12</v>
      </c>
      <c r="D109" s="3" t="str">
        <f>IF(_xlfn.XLOOKUP(B109, FeatureCleanRange, [0]!InScopeFlagRange, 0)=1, "YES", "NO")</f>
        <v>NO</v>
      </c>
    </row>
    <row r="110" spans="2:8" x14ac:dyDescent="0.3">
      <c r="B110" t="s">
        <v>117</v>
      </c>
      <c r="C110" s="2">
        <v>16</v>
      </c>
      <c r="D110" s="3" t="str">
        <f>IF(_xlfn.XLOOKUP(B110, FeatureCleanRange, [0]!InScopeFlagRange, 0)=1, "YES", "NO")</f>
        <v>NO</v>
      </c>
    </row>
    <row r="111" spans="2:8" x14ac:dyDescent="0.3">
      <c r="B111" t="s">
        <v>219</v>
      </c>
      <c r="C111" s="3"/>
    </row>
    <row r="112" spans="2:8" x14ac:dyDescent="0.3">
      <c r="B112" s="1" t="s">
        <v>53</v>
      </c>
      <c r="C112" s="3">
        <f>SUM(C113:C117)</f>
        <v>152</v>
      </c>
      <c r="F112">
        <f>IF(EngagementWeightage&lt;=100, Testing_Training,IF(EngagementWeightage&lt;=120,Testing_Training+8,IF(EngagementWeightage&lt;=160,Testing_Training+12,Testing_Training+16)))</f>
        <v>164</v>
      </c>
      <c r="G112">
        <f>SUM(F112:F117)</f>
        <v>244</v>
      </c>
      <c r="H112">
        <f t="shared" si="2"/>
        <v>30.5</v>
      </c>
    </row>
    <row r="113" spans="2:8" x14ac:dyDescent="0.3">
      <c r="B113" t="s">
        <v>83</v>
      </c>
      <c r="C113" s="2">
        <v>40</v>
      </c>
      <c r="D113" s="3" t="str">
        <f>IF(_xlfn.XLOOKUP(B113, FeatureCleanRange, [0]!InScopeFlagRange, 0)=1, "YES", "NO")</f>
        <v>YES</v>
      </c>
    </row>
    <row r="114" spans="2:8" x14ac:dyDescent="0.3">
      <c r="B114" t="s">
        <v>84</v>
      </c>
      <c r="C114" s="2">
        <v>40</v>
      </c>
      <c r="D114" s="3" t="str">
        <f>IF(_xlfn.XLOOKUP(B114, FeatureCleanRange, [0]!InScopeFlagRange, 0)=1, "YES", "NO")</f>
        <v>YES</v>
      </c>
    </row>
    <row r="115" spans="2:8" x14ac:dyDescent="0.3">
      <c r="B115" t="s">
        <v>85</v>
      </c>
      <c r="C115" s="2">
        <v>16</v>
      </c>
      <c r="D115" s="3" t="str">
        <f>IF(_xlfn.XLOOKUP(B115, FeatureCleanRange, [0]!InScopeFlagRange, 0)=1, "YES", "NO")</f>
        <v>YES</v>
      </c>
    </row>
    <row r="116" spans="2:8" x14ac:dyDescent="0.3">
      <c r="B116" t="s">
        <v>118</v>
      </c>
      <c r="C116" s="2">
        <v>40</v>
      </c>
      <c r="D116" s="3" t="str">
        <f>IF(_xlfn.XLOOKUP(B116, FeatureCleanRange, [0]!InScopeFlagRange, 0)=1, "YES", "NO")</f>
        <v>YES</v>
      </c>
      <c r="E116" s="3">
        <v>2</v>
      </c>
      <c r="F116">
        <f>C116*2</f>
        <v>80</v>
      </c>
    </row>
    <row r="117" spans="2:8" x14ac:dyDescent="0.3">
      <c r="B117" t="s">
        <v>86</v>
      </c>
      <c r="C117" s="2">
        <v>16</v>
      </c>
      <c r="D117" s="3" t="str">
        <f>IF(_xlfn.XLOOKUP(B117, FeatureCleanRange, [0]!InScopeFlagRange, 0)=1, "YES", "NO")</f>
        <v>YES</v>
      </c>
    </row>
    <row r="118" spans="2:8" x14ac:dyDescent="0.3">
      <c r="C118" s="3"/>
    </row>
    <row r="119" spans="2:8" x14ac:dyDescent="0.3">
      <c r="B119" s="1" t="s">
        <v>257</v>
      </c>
      <c r="C119" s="3">
        <f>SUM(C120:C121)</f>
        <v>80</v>
      </c>
      <c r="F119">
        <f>IF(EngagementWeightage&lt;=100, Transition,IF(EngagementWeightage&lt;=120,Transition+8,IF(EngagementWeightage&lt;=160,Transition+16,Transition+24)))</f>
        <v>96</v>
      </c>
      <c r="G119">
        <f>SUM(F119:F121)</f>
        <v>96</v>
      </c>
      <c r="H119">
        <f t="shared" si="2"/>
        <v>12</v>
      </c>
    </row>
    <row r="120" spans="2:8" x14ac:dyDescent="0.3">
      <c r="B120" t="s">
        <v>256</v>
      </c>
      <c r="C120" s="2">
        <v>40</v>
      </c>
      <c r="D120" s="3" t="str">
        <f>IF(_xlfn.XLOOKUP(B120, FeatureCleanRange, [0]!InScopeFlagRange, 0)=1, "YES", "NO")</f>
        <v>YES</v>
      </c>
    </row>
    <row r="121" spans="2:8" x14ac:dyDescent="0.3">
      <c r="B121" t="s">
        <v>258</v>
      </c>
      <c r="C121" s="2">
        <v>40</v>
      </c>
      <c r="D121" s="3" t="str">
        <f>IF(_xlfn.XLOOKUP(B121, FeatureCleanRange, InScopeFlagRange, 0)=1, "YES", "NO")</f>
        <v>YES</v>
      </c>
    </row>
    <row r="122" spans="2:8" x14ac:dyDescent="0.3">
      <c r="B122" t="s">
        <v>219</v>
      </c>
      <c r="C122" s="3"/>
    </row>
    <row r="123" spans="2:8" x14ac:dyDescent="0.3">
      <c r="B123" s="1" t="s">
        <v>62</v>
      </c>
      <c r="C123" s="3">
        <f>SUM(C124:C126)</f>
        <v>24</v>
      </c>
      <c r="F123">
        <f>IF(EngagementWeightage&lt;=100, Documentations,IF(EngagementWeightage&lt;=120,Documentations+8,IF(EngagementWeightage&lt;=160,Documentations+12,Documentations+16)))</f>
        <v>36</v>
      </c>
      <c r="G123">
        <f>SUM(F123:F126)</f>
        <v>36</v>
      </c>
      <c r="H123">
        <f t="shared" si="2"/>
        <v>4.5</v>
      </c>
    </row>
    <row r="124" spans="2:8" x14ac:dyDescent="0.3">
      <c r="B124" t="s">
        <v>87</v>
      </c>
      <c r="C124" s="2">
        <v>8</v>
      </c>
      <c r="D124" s="3" t="str">
        <f>IF(_xlfn.XLOOKUP(B124, FeatureCleanRange, [0]!InScopeFlagRange, 0)=1, "YES", "NO")</f>
        <v>YES</v>
      </c>
    </row>
    <row r="125" spans="2:8" x14ac:dyDescent="0.3">
      <c r="B125" t="s">
        <v>88</v>
      </c>
      <c r="C125" s="2">
        <v>8</v>
      </c>
      <c r="D125" s="3" t="str">
        <f>IF(_xlfn.XLOOKUP(B125, FeatureCleanRange, [0]!InScopeFlagRange, 0)=1, "YES", "NO")</f>
        <v>YES</v>
      </c>
    </row>
    <row r="126" spans="2:8" x14ac:dyDescent="0.3">
      <c r="B126" t="s">
        <v>18</v>
      </c>
      <c r="C126" s="2">
        <v>8</v>
      </c>
      <c r="D126" s="3" t="str">
        <f>IF(_xlfn.XLOOKUP(B126, FeatureCleanRange, [0]!InScopeFlagRange, 0)=1, "YES", "NO")</f>
        <v>YES</v>
      </c>
    </row>
    <row r="127" spans="2:8" x14ac:dyDescent="0.3">
      <c r="B127" t="s">
        <v>219</v>
      </c>
      <c r="C127" s="3"/>
    </row>
    <row r="128" spans="2:8" x14ac:dyDescent="0.3">
      <c r="B128" s="1" t="s">
        <v>137</v>
      </c>
      <c r="C128" s="3">
        <f>SUM(C129:C130)</f>
        <v>32</v>
      </c>
      <c r="F128">
        <f>IF(EngagementWeightage&lt;=100, Change_Management,IF(EngagementWeightage&lt;=120,Change_Management+8,IF(EngagementWeightage&lt;=160,Change_Management+12,Change_Management+16)))</f>
        <v>44</v>
      </c>
      <c r="G128">
        <f>SUM(F128:F130)</f>
        <v>44</v>
      </c>
      <c r="H128">
        <f t="shared" si="2"/>
        <v>5.5</v>
      </c>
    </row>
    <row r="129" spans="2:8" x14ac:dyDescent="0.3">
      <c r="B129" t="s">
        <v>89</v>
      </c>
      <c r="C129" s="2">
        <v>16</v>
      </c>
      <c r="D129" s="3" t="str">
        <f>IF(_xlfn.XLOOKUP(B129, FeatureCleanRange, [0]!InScopeFlagRange, 0)=1, "YES", "NO")</f>
        <v>YES</v>
      </c>
    </row>
    <row r="130" spans="2:8" x14ac:dyDescent="0.3">
      <c r="B130" t="s">
        <v>90</v>
      </c>
      <c r="C130" s="2">
        <v>16</v>
      </c>
      <c r="D130" s="3" t="str">
        <f>IF(_xlfn.XLOOKUP(B130, FeatureCleanRange, [0]!InScopeFlagRange, 0)=1, "YES", "NO")</f>
        <v>YES</v>
      </c>
    </row>
    <row r="131" spans="2:8" x14ac:dyDescent="0.3">
      <c r="F131" t="s">
        <v>229</v>
      </c>
      <c r="G131" t="s">
        <v>227</v>
      </c>
      <c r="H131" t="s">
        <v>228</v>
      </c>
    </row>
    <row r="132" spans="2:8" x14ac:dyDescent="0.3">
      <c r="F132">
        <f>SUM(G5:G130)</f>
        <v>1892.5</v>
      </c>
      <c r="G132">
        <f>F132/8</f>
        <v>236.5625</v>
      </c>
      <c r="H132" s="15">
        <f>G132/30</f>
        <v>7.885416666666667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4AA61-EA0A-4249-9EA6-54673F2A52CB}">
  <sheetPr codeName="Sheet1"/>
  <dimension ref="D7:M21"/>
  <sheetViews>
    <sheetView workbookViewId="0">
      <selection activeCell="L21" sqref="L21:L23"/>
    </sheetView>
  </sheetViews>
  <sheetFormatPr defaultRowHeight="13.5" x14ac:dyDescent="0.3"/>
  <cols>
    <col min="4" max="4" width="32.3828125" bestFit="1" customWidth="1"/>
  </cols>
  <sheetData>
    <row r="7" spans="4:13" ht="14" thickBot="1" x14ac:dyDescent="0.35"/>
    <row r="8" spans="4:13" ht="14" x14ac:dyDescent="0.3">
      <c r="D8" s="44" t="s">
        <v>272</v>
      </c>
      <c r="E8" s="56">
        <v>1</v>
      </c>
      <c r="F8" s="56">
        <v>2</v>
      </c>
      <c r="G8" s="56">
        <v>3</v>
      </c>
      <c r="H8" s="56">
        <v>4</v>
      </c>
      <c r="I8" s="56">
        <v>5</v>
      </c>
      <c r="J8" s="56">
        <v>6</v>
      </c>
      <c r="K8" s="56">
        <v>7</v>
      </c>
      <c r="L8" s="56">
        <v>8</v>
      </c>
      <c r="M8" s="56">
        <v>9</v>
      </c>
    </row>
    <row r="9" spans="4:13" ht="14.5" thickBot="1" x14ac:dyDescent="0.35">
      <c r="D9" s="45" t="s">
        <v>273</v>
      </c>
      <c r="E9" s="57"/>
      <c r="F9" s="57"/>
      <c r="G9" s="57"/>
      <c r="H9" s="57"/>
      <c r="I9" s="57"/>
      <c r="J9" s="57"/>
      <c r="K9" s="57"/>
      <c r="L9" s="57"/>
      <c r="M9" s="57"/>
    </row>
    <row r="10" spans="4:13" ht="14.5" thickBot="1" x14ac:dyDescent="0.35">
      <c r="D10" s="46" t="s">
        <v>274</v>
      </c>
      <c r="E10" s="47">
        <v>44</v>
      </c>
      <c r="F10" s="47">
        <v>88</v>
      </c>
      <c r="G10" s="47">
        <v>84</v>
      </c>
      <c r="H10" s="47">
        <v>84</v>
      </c>
      <c r="I10" s="47">
        <v>92</v>
      </c>
      <c r="J10" s="47">
        <v>72</v>
      </c>
      <c r="K10" s="47">
        <v>88</v>
      </c>
      <c r="L10" s="47">
        <v>108</v>
      </c>
      <c r="M10" s="47"/>
    </row>
    <row r="11" spans="4:13" ht="14.5" thickBot="1" x14ac:dyDescent="0.35">
      <c r="D11" s="46" t="s">
        <v>275</v>
      </c>
      <c r="E11" s="47">
        <v>44</v>
      </c>
      <c r="F11" s="47">
        <v>88</v>
      </c>
      <c r="G11" s="47">
        <v>84</v>
      </c>
      <c r="H11" s="47">
        <v>84</v>
      </c>
      <c r="I11" s="47">
        <v>92</v>
      </c>
      <c r="J11" s="47">
        <v>72</v>
      </c>
      <c r="K11" s="47">
        <v>88</v>
      </c>
      <c r="L11" s="47">
        <v>108</v>
      </c>
      <c r="M11" s="47"/>
    </row>
    <row r="12" spans="4:13" ht="14.5" thickBot="1" x14ac:dyDescent="0.35">
      <c r="D12" s="46" t="s">
        <v>276</v>
      </c>
      <c r="E12" s="47">
        <v>88</v>
      </c>
      <c r="F12" s="47">
        <v>88</v>
      </c>
      <c r="G12" s="47">
        <v>34</v>
      </c>
      <c r="H12" s="47">
        <v>34</v>
      </c>
      <c r="I12" s="47">
        <v>37</v>
      </c>
      <c r="J12" s="47">
        <v>29</v>
      </c>
      <c r="K12" s="47">
        <v>35</v>
      </c>
      <c r="L12" s="47">
        <v>112</v>
      </c>
      <c r="M12" s="47"/>
    </row>
    <row r="13" spans="4:13" ht="14.5" thickBot="1" x14ac:dyDescent="0.35">
      <c r="D13" s="46" t="s">
        <v>277</v>
      </c>
      <c r="E13" s="47">
        <v>44</v>
      </c>
      <c r="F13" s="47">
        <v>88</v>
      </c>
      <c r="G13" s="47">
        <v>34</v>
      </c>
      <c r="H13" s="47">
        <v>34</v>
      </c>
      <c r="I13" s="47">
        <v>5</v>
      </c>
      <c r="J13" s="47"/>
      <c r="K13" s="47"/>
      <c r="L13" s="47"/>
      <c r="M13" s="47"/>
    </row>
    <row r="14" spans="4:13" ht="14.5" thickBot="1" x14ac:dyDescent="0.35">
      <c r="D14" s="46" t="s">
        <v>278</v>
      </c>
      <c r="E14" s="47"/>
      <c r="F14" s="47">
        <v>176</v>
      </c>
      <c r="G14" s="47">
        <v>168</v>
      </c>
      <c r="H14" s="47">
        <v>168</v>
      </c>
      <c r="I14" s="47">
        <v>184</v>
      </c>
      <c r="J14" s="47">
        <v>144</v>
      </c>
      <c r="K14" s="47">
        <v>176</v>
      </c>
      <c r="L14" s="47">
        <v>168</v>
      </c>
      <c r="M14" s="47">
        <v>160</v>
      </c>
    </row>
    <row r="15" spans="4:13" ht="14.5" thickBot="1" x14ac:dyDescent="0.35">
      <c r="D15" s="46" t="s">
        <v>279</v>
      </c>
      <c r="E15" s="47"/>
      <c r="F15" s="47">
        <v>176</v>
      </c>
      <c r="G15" s="47">
        <v>168</v>
      </c>
      <c r="H15" s="47">
        <v>168</v>
      </c>
      <c r="I15" s="47">
        <v>184</v>
      </c>
      <c r="J15" s="47">
        <v>144</v>
      </c>
      <c r="K15" s="47">
        <v>176</v>
      </c>
      <c r="L15" s="47">
        <v>168</v>
      </c>
      <c r="M15" s="47">
        <v>160</v>
      </c>
    </row>
    <row r="16" spans="4:13" ht="14.5" thickBot="1" x14ac:dyDescent="0.35">
      <c r="D16" s="46" t="s">
        <v>280</v>
      </c>
      <c r="E16" s="47"/>
      <c r="F16" s="47">
        <v>176</v>
      </c>
      <c r="G16" s="47">
        <v>168</v>
      </c>
      <c r="H16" s="47">
        <v>168</v>
      </c>
      <c r="I16" s="47">
        <v>184</v>
      </c>
      <c r="J16" s="47">
        <v>144</v>
      </c>
      <c r="K16" s="47">
        <v>176</v>
      </c>
      <c r="L16" s="47">
        <v>144</v>
      </c>
      <c r="M16" s="47"/>
    </row>
    <row r="17" spans="4:13" ht="14.5" thickBot="1" x14ac:dyDescent="0.35">
      <c r="D17" s="46" t="s">
        <v>281</v>
      </c>
      <c r="E17" s="47"/>
      <c r="F17" s="47">
        <v>176</v>
      </c>
      <c r="G17" s="47">
        <v>168</v>
      </c>
      <c r="H17" s="47">
        <v>168</v>
      </c>
      <c r="I17" s="47">
        <v>184</v>
      </c>
      <c r="J17" s="47">
        <v>144</v>
      </c>
      <c r="K17" s="47">
        <v>176</v>
      </c>
      <c r="L17" s="47">
        <v>144</v>
      </c>
      <c r="M17" s="47"/>
    </row>
    <row r="18" spans="4:13" ht="14.5" thickBot="1" x14ac:dyDescent="0.35">
      <c r="D18" s="48" t="s">
        <v>282</v>
      </c>
      <c r="E18" s="47">
        <v>2</v>
      </c>
      <c r="F18" s="47">
        <v>2</v>
      </c>
      <c r="G18" s="47">
        <v>2</v>
      </c>
      <c r="H18" s="47">
        <v>2</v>
      </c>
      <c r="I18" s="47">
        <v>2</v>
      </c>
      <c r="J18" s="47">
        <v>2</v>
      </c>
      <c r="K18" s="47">
        <v>2</v>
      </c>
      <c r="L18" s="47">
        <v>6</v>
      </c>
      <c r="M18" s="47"/>
    </row>
    <row r="21" spans="4:13" ht="14" x14ac:dyDescent="0.3">
      <c r="K21" s="49">
        <v>7010</v>
      </c>
    </row>
  </sheetData>
  <mergeCells count="9">
    <mergeCell ref="K8:K9"/>
    <mergeCell ref="L8:L9"/>
    <mergeCell ref="M8:M9"/>
    <mergeCell ref="E8:E9"/>
    <mergeCell ref="F8:F9"/>
    <mergeCell ref="G8:G9"/>
    <mergeCell ref="H8:H9"/>
    <mergeCell ref="I8:I9"/>
    <mergeCell ref="J8:J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D1A3D-BA43-4A6A-817A-FCF02050F91F}">
  <sheetPr codeName="Sheet5"/>
  <dimension ref="B3:J189"/>
  <sheetViews>
    <sheetView topLeftCell="A130" workbookViewId="0">
      <selection activeCell="E194" sqref="E194"/>
    </sheetView>
  </sheetViews>
  <sheetFormatPr defaultRowHeight="13.5" outlineLevelRow="1" x14ac:dyDescent="0.3"/>
  <cols>
    <col min="2" max="2" width="24.765625" customWidth="1"/>
    <col min="3" max="12" width="8.765625" customWidth="1"/>
  </cols>
  <sheetData>
    <row r="3" spans="2:2" ht="15" x14ac:dyDescent="0.3">
      <c r="B3" s="9" t="s">
        <v>142</v>
      </c>
    </row>
    <row r="4" spans="2:2" hidden="1" outlineLevel="1" x14ac:dyDescent="0.3"/>
    <row r="5" spans="2:2" hidden="1" outlineLevel="1" x14ac:dyDescent="0.3">
      <c r="B5" t="s">
        <v>143</v>
      </c>
    </row>
    <row r="6" spans="2:2" hidden="1" outlineLevel="1" x14ac:dyDescent="0.3"/>
    <row r="7" spans="2:2" hidden="1" outlineLevel="1" x14ac:dyDescent="0.3">
      <c r="B7" t="s">
        <v>144</v>
      </c>
    </row>
    <row r="8" spans="2:2" hidden="1" outlineLevel="1" x14ac:dyDescent="0.3">
      <c r="B8" t="s">
        <v>145</v>
      </c>
    </row>
    <row r="9" spans="2:2" hidden="1" outlineLevel="1" x14ac:dyDescent="0.3"/>
    <row r="10" spans="2:2" hidden="1" outlineLevel="1" x14ac:dyDescent="0.3">
      <c r="B10" t="s">
        <v>146</v>
      </c>
    </row>
    <row r="11" spans="2:2" hidden="1" outlineLevel="1" x14ac:dyDescent="0.3"/>
    <row r="12" spans="2:2" hidden="1" outlineLevel="1" x14ac:dyDescent="0.3">
      <c r="B12" t="s">
        <v>147</v>
      </c>
    </row>
    <row r="13" spans="2:2" hidden="1" outlineLevel="1" x14ac:dyDescent="0.3"/>
    <row r="14" spans="2:2" hidden="1" outlineLevel="1" x14ac:dyDescent="0.3">
      <c r="B14" s="1" t="s">
        <v>25</v>
      </c>
    </row>
    <row r="15" spans="2:2" hidden="1" outlineLevel="1" x14ac:dyDescent="0.3">
      <c r="B15" t="str">
        <f>"Account dimension (~ "&amp;'Scope Definition'!D6&amp;"accounts) will be configured based on the current Chart of Accounts. " &amp; IF('Scope Definition'!C8="NO","No redesign of the Chart of Accounts is anticipated in the SOW.","CoA Rationalization will be performed.") &amp; " Standard Trial Balance will be incorporated into the Account dimension to support the following financial statements."</f>
        <v>Account dimension (~ 2000accounts) will be configured based on the current Chart of Accounts. CoA Rationalization will be performed. Standard Trial Balance will be incorporated into the Account dimension to support the following financial statements.</v>
      </c>
    </row>
    <row r="16" spans="2:2" hidden="1" outlineLevel="1" x14ac:dyDescent="0.3">
      <c r="B16" t="str">
        <f>"Up to "&amp;'Scope Definition'!D7&amp;" Account alternate hierarchies will be developed"</f>
        <v>Up to 2 Account alternate hierarchies will be developed</v>
      </c>
    </row>
    <row r="17" spans="2:2" hidden="1" outlineLevel="1" x14ac:dyDescent="0.3">
      <c r="B17" t="str">
        <f>"Entity - (~"&amp;'Scope Definition'!D11&amp;") will be configures based on the currenct structure. In addtion, up to "&amp;'Scope Definition'!D13&amp;" alternate hierarchies will be developed"</f>
        <v>Entity - (~25) will be configures based on the currenct structure. In addtion, up to 2 alternate hierarchies will be developed</v>
      </c>
    </row>
    <row r="18" spans="2:2" hidden="1" outlineLevel="1" x14ac:dyDescent="0.3">
      <c r="B18" t="str">
        <f>"Currency dimension will be configures with "&amp;'Scope Definition'!D9&amp; " Currencies.There will be "&amp;'Scope Definition'!D10&amp; " Reporting Currency"</f>
        <v>Currency dimension will be configures with 5 Currencies.There will be 2 Reporting Currency</v>
      </c>
    </row>
    <row r="19" spans="2:2" ht="15.5" hidden="1" outlineLevel="1" x14ac:dyDescent="0.35">
      <c r="B19" s="7" t="str">
        <f>IF('Scope Definition'!C31="YES", "Movement dimension will be configured to support Cash Flow and Roll-forward activities.", "Movement dimension will be configured to support Roll-forward activities.")</f>
        <v>Movement dimension will be configured to support Cash Flow and Roll-forward activities.</v>
      </c>
    </row>
    <row r="20" spans="2:2" ht="15.5" hidden="1" outlineLevel="1" x14ac:dyDescent="0.35">
      <c r="B20" s="7" t="s">
        <v>149</v>
      </c>
    </row>
    <row r="21" spans="2:2" ht="15.5" hidden="1" outlineLevel="1" x14ac:dyDescent="0.35">
      <c r="B21" s="7" t="str">
        <f>"Custom dimensions will be leveraged to support additional reporting requirements. Specific use of "&amp;'Scope Definition'!D16&amp;" Custom Dimensions will be determined during requirements and design"</f>
        <v>Custom dimensions will be leveraged to support additional reporting requirements. Specific use of 2 Custom Dimensions will be determined during requirements and design</v>
      </c>
    </row>
    <row r="22" spans="2:2" hidden="1" outlineLevel="1" x14ac:dyDescent="0.3">
      <c r="B22" t="str">
        <f>IF('Scope Definition'!C17="NO", "Custom dimensions will have only one primary hierarchy", "Custom dimensions will have "&amp;'Scope Definition'!D17&amp; " alternate hierarchies")</f>
        <v>Custom dimensions will have 2 alternate hierarchies</v>
      </c>
    </row>
    <row r="23" spans="2:2" hidden="1" outlineLevel="1" x14ac:dyDescent="0.3"/>
    <row r="24" spans="2:2" hidden="1" outlineLevel="1" x14ac:dyDescent="0.3">
      <c r="B24" s="1" t="s">
        <v>26</v>
      </c>
    </row>
    <row r="25" spans="2:2" hidden="1" outlineLevel="1" x14ac:dyDescent="0.3">
      <c r="B25" t="str">
        <f>IF('Scope Definition'!C21="YES","Standard elimination capabilities will be provided","Elimination is not in scope")</f>
        <v>Standard elimination capabilities will be provided</v>
      </c>
    </row>
    <row r="26" spans="2:2" hidden="1" outlineLevel="1" x14ac:dyDescent="0.3">
      <c r="B26" t="str">
        <f>IF('Scope Definition'!C23="YES","Consolidation Journal will be enabled","Journals are not in scope") &amp; " and " &amp; IF('Scope Definition'!C24="YES",'Scope Definition'!D24&amp; " Journal Template will be created", "Journal Templates are not in scope")</f>
        <v>Consolidation Journal will be enabled and 1 Journal Template will be created</v>
      </c>
    </row>
    <row r="27" spans="2:2" hidden="1" outlineLevel="1" x14ac:dyDescent="0.3">
      <c r="B27" t="str">
        <f>IF('Scope Definition'!C26="NO","Ownership Management is not in scope, " &amp; "No Equity pickup", "Ownership management will be enabled." )</f>
        <v>Ownership Management is not in scope, No Equity pickup</v>
      </c>
    </row>
    <row r="28" spans="2:2" hidden="1" outlineLevel="1" x14ac:dyDescent="0.3">
      <c r="B28" t="str">
        <f>IF('Scope Definition'!C29="YES","Partner Elimination will be enabled", " ")</f>
        <v xml:space="preserve"> </v>
      </c>
    </row>
    <row r="29" spans="2:2" hidden="1" outlineLevel="1" x14ac:dyDescent="0.3">
      <c r="B29" t="str">
        <f>IF('Scope Definition'!C30="YES","Configurable Consolidartion Rules will be used", " ")</f>
        <v xml:space="preserve"> </v>
      </c>
    </row>
    <row r="30" spans="2:2" hidden="1" outlineLevel="1" x14ac:dyDescent="0.3">
      <c r="B30" t="str">
        <f>IF('Scope Definition'!C31="YES","Our of box Configuration of indirect Cash Flow will be used.", "Cash Flow is not in scope.")</f>
        <v>Our of box Configuration of indirect Cash Flow will be used.</v>
      </c>
    </row>
    <row r="31" spans="2:2" hidden="1" outlineLevel="1" x14ac:dyDescent="0.3">
      <c r="B31" t="str">
        <f>IF('Scope Definition'!C32="YES","Supplemental Data Collection will be enabled.", " ")</f>
        <v xml:space="preserve"> </v>
      </c>
    </row>
    <row r="32" spans="2:2" hidden="1" outlineLevel="1" x14ac:dyDescent="0.3">
      <c r="B32" t="str">
        <f>IF('Scope Definition'!C33="YES","Enterprise Journals will be enabled.", "")</f>
        <v/>
      </c>
    </row>
    <row r="33" spans="2:2" hidden="1" outlineLevel="1" x14ac:dyDescent="0.3">
      <c r="B33" t="str">
        <f>IF('Scope Definition'!C34="YES","Approval Process will be used in the application.", "")</f>
        <v>Approval Process will be used in the application.</v>
      </c>
    </row>
    <row r="34" spans="2:2" hidden="1" outlineLevel="1" x14ac:dyDescent="0.3">
      <c r="B34" t="str">
        <f>IF('Scope Definition'!C35="YES","Task Manager will be used in the application to support Financial Consolidation and Close.", "")</f>
        <v>Task Manager will be used in the application to support Financial Consolidation and Close.</v>
      </c>
    </row>
    <row r="35" spans="2:2" hidden="1" outlineLevel="1" x14ac:dyDescent="0.3">
      <c r="B35" t="str">
        <f>IF('Scope Definition'!C36="YES","Audit will be enabled in the application as per requierement.", "")</f>
        <v/>
      </c>
    </row>
    <row r="36" spans="2:2" hidden="1" outlineLevel="1" x14ac:dyDescent="0.3"/>
    <row r="37" spans="2:2" hidden="1" outlineLevel="1" x14ac:dyDescent="0.3">
      <c r="B37" s="1" t="s">
        <v>215</v>
      </c>
    </row>
    <row r="38" spans="2:2" hidden="1" outlineLevel="1" x14ac:dyDescent="0.3">
      <c r="B38" t="str">
        <f>IF('Scope Definition'!C40="YES","Custom Data Forms – If required, up to " &amp; 'Scope Definition'!D40 &amp;" Custom Data Forms will be developed to support Financial Consolidation and Close.","")</f>
        <v>Custom Data Forms – If required, up to 5 Custom Data Forms will be developed to support Financial Consolidation and Close.</v>
      </c>
    </row>
    <row r="39" spans="2:2" hidden="1" outlineLevel="1" x14ac:dyDescent="0.3"/>
    <row r="40" spans="2:2" hidden="1" outlineLevel="1" x14ac:dyDescent="0.3">
      <c r="B40" t="str">
        <f>IF('Scope Definition'!C41="YES","Custom Dashboards – If required, up to " &amp; 'Scope Definition'!D41 &amp;" Custom Dashboards will be developed to support Financial Consolidation and Close.","")</f>
        <v/>
      </c>
    </row>
    <row r="41" spans="2:2" hidden="1" outlineLevel="1" x14ac:dyDescent="0.3"/>
    <row r="42" spans="2:2" hidden="1" outlineLevel="1" x14ac:dyDescent="0.3">
      <c r="B42" s="1" t="s">
        <v>204</v>
      </c>
    </row>
    <row r="43" spans="2:2" hidden="1" outlineLevel="1" x14ac:dyDescent="0.3">
      <c r="B43" t="str">
        <f>IF('Scope Definition'!C44="YES","Custom Business Rules – If required, up to " &amp; 'Scope Definition'!D44 &amp;" Custom Business rules will be developed to support Financial Consolidation and Close.","")</f>
        <v>Custom Business Rules – If required, up to 3 Custom Business rules will be developed to support Financial Consolidation and Close.</v>
      </c>
    </row>
    <row r="44" spans="2:2" hidden="1" outlineLevel="1" x14ac:dyDescent="0.3">
      <c r="B44" t="str">
        <f>IF('Scope Definition'!C45="YES","Member Formulas  – If required, up to " &amp; 'Scope Definition'!D45 &amp;" Member Formulas will be developed to support Financial Consolidation and Close.","")</f>
        <v>Member Formulas  – If required, up to 20 Member Formulas will be developed to support Financial Consolidation and Close.</v>
      </c>
    </row>
    <row r="45" spans="2:2" hidden="1" outlineLevel="1" x14ac:dyDescent="0.3">
      <c r="B45" t="str">
        <f>IF('Scope Definition'!C46="YES","Translation override will be set up if required","")</f>
        <v>Translation override will be set up if required</v>
      </c>
    </row>
    <row r="46" spans="2:2" hidden="1" outlineLevel="1" x14ac:dyDescent="0.3">
      <c r="B46" t="str">
        <f>IF('Scope Definition'!C47="YES","Calculate Movement rule will be enabled","")</f>
        <v/>
      </c>
    </row>
    <row r="47" spans="2:2" hidden="1" outlineLevel="1" x14ac:dyDescent="0.3"/>
    <row r="48" spans="2:2" hidden="1" outlineLevel="1" x14ac:dyDescent="0.3"/>
    <row r="49" hidden="1" outlineLevel="1" x14ac:dyDescent="0.3"/>
    <row r="50" hidden="1" outlineLevel="1" x14ac:dyDescent="0.3"/>
    <row r="51" hidden="1" outlineLevel="1" x14ac:dyDescent="0.3"/>
    <row r="52" hidden="1" outlineLevel="1" x14ac:dyDescent="0.3"/>
    <row r="53" hidden="1" outlineLevel="1" x14ac:dyDescent="0.3"/>
    <row r="54" hidden="1" outlineLevel="1" x14ac:dyDescent="0.3"/>
    <row r="55" hidden="1" outlineLevel="1" x14ac:dyDescent="0.3"/>
    <row r="56" hidden="1" outlineLevel="1" x14ac:dyDescent="0.3"/>
    <row r="57" hidden="1" outlineLevel="1" x14ac:dyDescent="0.3"/>
    <row r="58" hidden="1" outlineLevel="1" x14ac:dyDescent="0.3"/>
    <row r="59" hidden="1" outlineLevel="1" x14ac:dyDescent="0.3"/>
    <row r="60" hidden="1" outlineLevel="1" x14ac:dyDescent="0.3"/>
    <row r="61" hidden="1" outlineLevel="1" x14ac:dyDescent="0.3"/>
    <row r="62" hidden="1" outlineLevel="1" x14ac:dyDescent="0.3"/>
    <row r="63" hidden="1" outlineLevel="1" x14ac:dyDescent="0.3"/>
    <row r="64" hidden="1" outlineLevel="1" x14ac:dyDescent="0.3"/>
    <row r="65" hidden="1" outlineLevel="1" x14ac:dyDescent="0.3"/>
    <row r="66" hidden="1" outlineLevel="1" x14ac:dyDescent="0.3"/>
    <row r="67" hidden="1" outlineLevel="1" x14ac:dyDescent="0.3"/>
    <row r="68" hidden="1" outlineLevel="1" x14ac:dyDescent="0.3"/>
    <row r="69" hidden="1" outlineLevel="1" x14ac:dyDescent="0.3"/>
    <row r="70" hidden="1" outlineLevel="1" x14ac:dyDescent="0.3"/>
    <row r="71" hidden="1" outlineLevel="1" x14ac:dyDescent="0.3"/>
    <row r="72" hidden="1" outlineLevel="1" x14ac:dyDescent="0.3"/>
    <row r="73" hidden="1" outlineLevel="1" x14ac:dyDescent="0.3"/>
    <row r="74" hidden="1" outlineLevel="1" x14ac:dyDescent="0.3"/>
    <row r="75" hidden="1" outlineLevel="1" x14ac:dyDescent="0.3"/>
    <row r="76" hidden="1" outlineLevel="1" x14ac:dyDescent="0.3"/>
    <row r="77" hidden="1" outlineLevel="1" x14ac:dyDescent="0.3"/>
    <row r="78" hidden="1" outlineLevel="1" x14ac:dyDescent="0.3"/>
    <row r="79" hidden="1" outlineLevel="1" x14ac:dyDescent="0.3"/>
    <row r="80" hidden="1" outlineLevel="1" x14ac:dyDescent="0.3"/>
    <row r="81" hidden="1" outlineLevel="1" x14ac:dyDescent="0.3"/>
    <row r="82" hidden="1" outlineLevel="1" x14ac:dyDescent="0.3"/>
    <row r="83" hidden="1" outlineLevel="1" x14ac:dyDescent="0.3"/>
    <row r="84" hidden="1" outlineLevel="1" x14ac:dyDescent="0.3"/>
    <row r="85" hidden="1" outlineLevel="1" x14ac:dyDescent="0.3"/>
    <row r="86" hidden="1" outlineLevel="1" x14ac:dyDescent="0.3"/>
    <row r="87" hidden="1" outlineLevel="1" x14ac:dyDescent="0.3"/>
    <row r="88" hidden="1" outlineLevel="1" x14ac:dyDescent="0.3"/>
    <row r="89" hidden="1" outlineLevel="1" x14ac:dyDescent="0.3"/>
    <row r="90" hidden="1" outlineLevel="1" x14ac:dyDescent="0.3"/>
    <row r="91" hidden="1" outlineLevel="1" x14ac:dyDescent="0.3"/>
    <row r="92" hidden="1" outlineLevel="1" x14ac:dyDescent="0.3"/>
    <row r="93" hidden="1" outlineLevel="1" x14ac:dyDescent="0.3"/>
    <row r="94" hidden="1" outlineLevel="1" x14ac:dyDescent="0.3"/>
    <row r="95" hidden="1" outlineLevel="1" x14ac:dyDescent="0.3"/>
    <row r="96" hidden="1" outlineLevel="1" x14ac:dyDescent="0.3"/>
    <row r="97" hidden="1" outlineLevel="1" x14ac:dyDescent="0.3"/>
    <row r="98" hidden="1" outlineLevel="1" x14ac:dyDescent="0.3"/>
    <row r="99" hidden="1" outlineLevel="1" x14ac:dyDescent="0.3"/>
    <row r="100" hidden="1" outlineLevel="1" x14ac:dyDescent="0.3"/>
    <row r="101" hidden="1" outlineLevel="1" x14ac:dyDescent="0.3"/>
    <row r="102" hidden="1" outlineLevel="1" x14ac:dyDescent="0.3"/>
    <row r="103" hidden="1" outlineLevel="1" x14ac:dyDescent="0.3"/>
    <row r="104" hidden="1" outlineLevel="1" x14ac:dyDescent="0.3"/>
    <row r="105" hidden="1" outlineLevel="1" x14ac:dyDescent="0.3"/>
    <row r="106" hidden="1" outlineLevel="1" x14ac:dyDescent="0.3"/>
    <row r="107" hidden="1" outlineLevel="1" x14ac:dyDescent="0.3"/>
    <row r="108" hidden="1" outlineLevel="1" x14ac:dyDescent="0.3"/>
    <row r="109" hidden="1" outlineLevel="1" x14ac:dyDescent="0.3"/>
    <row r="110" hidden="1" outlineLevel="1" x14ac:dyDescent="0.3"/>
    <row r="111" hidden="1" outlineLevel="1" x14ac:dyDescent="0.3"/>
    <row r="112" hidden="1" outlineLevel="1" x14ac:dyDescent="0.3"/>
    <row r="113" hidden="1" outlineLevel="1" x14ac:dyDescent="0.3"/>
    <row r="114" hidden="1" outlineLevel="1" x14ac:dyDescent="0.3"/>
    <row r="115" hidden="1" outlineLevel="1" x14ac:dyDescent="0.3"/>
    <row r="116" hidden="1" outlineLevel="1" x14ac:dyDescent="0.3"/>
    <row r="117" hidden="1" outlineLevel="1" x14ac:dyDescent="0.3"/>
    <row r="118" hidden="1" outlineLevel="1" x14ac:dyDescent="0.3"/>
    <row r="119" hidden="1" outlineLevel="1" x14ac:dyDescent="0.3"/>
    <row r="120" hidden="1" outlineLevel="1" x14ac:dyDescent="0.3"/>
    <row r="121" hidden="1" outlineLevel="1" x14ac:dyDescent="0.3"/>
    <row r="122" hidden="1" outlineLevel="1" x14ac:dyDescent="0.3"/>
    <row r="123" hidden="1" outlineLevel="1" x14ac:dyDescent="0.3"/>
    <row r="124" hidden="1" outlineLevel="1" x14ac:dyDescent="0.3"/>
    <row r="125" hidden="1" outlineLevel="1" x14ac:dyDescent="0.3"/>
    <row r="126" hidden="1" outlineLevel="1" x14ac:dyDescent="0.3"/>
    <row r="127" hidden="1" outlineLevel="1" x14ac:dyDescent="0.3"/>
    <row r="128" hidden="1" outlineLevel="1" x14ac:dyDescent="0.3"/>
    <row r="129" spans="2:4" hidden="1" outlineLevel="1" x14ac:dyDescent="0.3"/>
    <row r="130" spans="2:4" collapsed="1" x14ac:dyDescent="0.3"/>
    <row r="132" spans="2:4" ht="15" x14ac:dyDescent="0.3">
      <c r="B132" s="9" t="s">
        <v>161</v>
      </c>
    </row>
    <row r="133" spans="2:4" ht="15" hidden="1" outlineLevel="1" x14ac:dyDescent="0.3">
      <c r="B133" s="9"/>
    </row>
    <row r="134" spans="2:4" hidden="1" outlineLevel="1" x14ac:dyDescent="0.3">
      <c r="B134" t="s">
        <v>162</v>
      </c>
      <c r="D134" t="s">
        <v>162</v>
      </c>
    </row>
    <row r="135" spans="2:4" hidden="1" outlineLevel="1" x14ac:dyDescent="0.3">
      <c r="B135" t="s">
        <v>163</v>
      </c>
      <c r="D135" t="s">
        <v>163</v>
      </c>
    </row>
    <row r="136" spans="2:4" hidden="1" outlineLevel="1" x14ac:dyDescent="0.3">
      <c r="B136" t="s">
        <v>164</v>
      </c>
      <c r="D136" t="s">
        <v>164</v>
      </c>
    </row>
    <row r="137" spans="2:4" hidden="1" outlineLevel="1" x14ac:dyDescent="0.3">
      <c r="B137" t="s">
        <v>165</v>
      </c>
      <c r="D137" t="s">
        <v>165</v>
      </c>
    </row>
    <row r="138" spans="2:4" hidden="1" outlineLevel="1" x14ac:dyDescent="0.3">
      <c r="B138" t="s">
        <v>9</v>
      </c>
      <c r="D138" t="str">
        <f>IF('Scope Definition'!E26&gt;0,Definitions!B138,"")</f>
        <v/>
      </c>
    </row>
    <row r="139" spans="2:4" hidden="1" outlineLevel="1" x14ac:dyDescent="0.3">
      <c r="B139" t="s">
        <v>103</v>
      </c>
      <c r="D139" t="str">
        <f>IF('Scope Definition'!E31&gt;0,Definitions!B139,"")</f>
        <v>Cash Flow</v>
      </c>
    </row>
    <row r="140" spans="2:4" hidden="1" outlineLevel="1" x14ac:dyDescent="0.3">
      <c r="B140" t="s">
        <v>170</v>
      </c>
      <c r="D140" t="str">
        <f>IF('Scope Definition'!E23&gt;0,Definitions!B140,"")</f>
        <v>Journal Process</v>
      </c>
    </row>
    <row r="141" spans="2:4" hidden="1" outlineLevel="1" x14ac:dyDescent="0.3">
      <c r="B141" t="s">
        <v>40</v>
      </c>
      <c r="D141" t="str">
        <f>IF('Scope Definition'!F59&gt;0,Definitions!B141,"")</f>
        <v>Integrations</v>
      </c>
    </row>
    <row r="142" spans="2:4" hidden="1" outlineLevel="1" x14ac:dyDescent="0.3">
      <c r="B142" t="s">
        <v>166</v>
      </c>
      <c r="D142" t="str">
        <f>IF('Scope Definition'!F53&gt;0,Definitions!B142,"")</f>
        <v>Historical Data Source and Validations</v>
      </c>
    </row>
    <row r="143" spans="2:4" hidden="1" outlineLevel="1" x14ac:dyDescent="0.3">
      <c r="B143" t="s">
        <v>22</v>
      </c>
      <c r="D143" t="str">
        <f>IF('Scope Definition'!F75&gt;0,Definitions!B143,"")</f>
        <v>Automations</v>
      </c>
    </row>
    <row r="144" spans="2:4" hidden="1" outlineLevel="1" x14ac:dyDescent="0.3">
      <c r="B144" t="s">
        <v>11</v>
      </c>
      <c r="D144" t="str">
        <f>IF('Scope Definition'!E34&gt;0,Definitions!B144,"")</f>
        <v>Approval Process</v>
      </c>
    </row>
    <row r="145" spans="2:4" hidden="1" outlineLevel="1" x14ac:dyDescent="0.3">
      <c r="B145" t="s">
        <v>106</v>
      </c>
      <c r="D145" t="str">
        <f>IF('Scope Definition'!E36&gt;0,Definitions!B145,"")</f>
        <v/>
      </c>
    </row>
    <row r="146" spans="2:4" hidden="1" outlineLevel="1" x14ac:dyDescent="0.3">
      <c r="B146" t="s">
        <v>104</v>
      </c>
      <c r="D146" t="str">
        <f>IF('Scope Definition'!E32&gt;0,Definitions!B146,"")</f>
        <v/>
      </c>
    </row>
    <row r="147" spans="2:4" hidden="1" outlineLevel="1" x14ac:dyDescent="0.3">
      <c r="B147" t="s">
        <v>105</v>
      </c>
      <c r="D147" t="str">
        <f>IF('Scope Definition'!E33&gt;0,Definitions!B147,"")</f>
        <v/>
      </c>
    </row>
    <row r="148" spans="2:4" hidden="1" outlineLevel="1" x14ac:dyDescent="0.3">
      <c r="B148" t="s">
        <v>167</v>
      </c>
      <c r="D148" t="str">
        <f>IF('Scope Definition'!F49&gt;0,Definitions!B148,"")</f>
        <v>Application Security</v>
      </c>
    </row>
    <row r="149" spans="2:4" hidden="1" outlineLevel="1" x14ac:dyDescent="0.3">
      <c r="B149" t="s">
        <v>168</v>
      </c>
      <c r="D149" t="str">
        <f>IF('Scope Definition'!E37&gt;0,Definitions!B149,"")</f>
        <v>Audit</v>
      </c>
    </row>
    <row r="150" spans="2:4" hidden="1" outlineLevel="1" x14ac:dyDescent="0.3"/>
    <row r="151" spans="2:4" hidden="1" outlineLevel="1" x14ac:dyDescent="0.3"/>
    <row r="152" spans="2:4" hidden="1" outlineLevel="1" x14ac:dyDescent="0.3"/>
    <row r="153" spans="2:4" hidden="1" outlineLevel="1" x14ac:dyDescent="0.3"/>
    <row r="154" spans="2:4" hidden="1" outlineLevel="1" x14ac:dyDescent="0.3"/>
    <row r="155" spans="2:4" hidden="1" outlineLevel="1" x14ac:dyDescent="0.3"/>
    <row r="156" spans="2:4" hidden="1" outlineLevel="1" x14ac:dyDescent="0.3"/>
    <row r="157" spans="2:4" hidden="1" outlineLevel="1" x14ac:dyDescent="0.3"/>
    <row r="158" spans="2:4" hidden="1" outlineLevel="1" x14ac:dyDescent="0.3"/>
    <row r="159" spans="2:4" hidden="1" outlineLevel="1" x14ac:dyDescent="0.3"/>
    <row r="160" spans="2:4" hidden="1" outlineLevel="1" x14ac:dyDescent="0.3"/>
    <row r="161" spans="2:10" hidden="1" outlineLevel="1" x14ac:dyDescent="0.3"/>
    <row r="162" spans="2:10" hidden="1" outlineLevel="1" x14ac:dyDescent="0.3"/>
    <row r="163" spans="2:10" hidden="1" outlineLevel="1" x14ac:dyDescent="0.3"/>
    <row r="164" spans="2:10" collapsed="1" x14ac:dyDescent="0.3"/>
    <row r="166" spans="2:10" ht="15" x14ac:dyDescent="0.3">
      <c r="B166" s="9" t="s">
        <v>169</v>
      </c>
    </row>
    <row r="167" spans="2:10" outlineLevel="1" x14ac:dyDescent="0.3"/>
    <row r="168" spans="2:10" outlineLevel="1" x14ac:dyDescent="0.3">
      <c r="B168" s="14" t="str">
        <f ca="1">"The engagement start date is " &amp; TEXT(TODAY(), "dd-mmm-yyyy")</f>
        <v>The engagement start date is 18-Nov-2025</v>
      </c>
    </row>
    <row r="169" spans="2:10" outlineLevel="1" x14ac:dyDescent="0.3">
      <c r="B169" t="str">
        <f ca="1">"The engagement end date is " &amp; TEXT(EOMONTH(TODAY(), ROUND(TotalDuration,0)),"dd-mmm-yyyy")</f>
        <v>The engagement end date is 31-Jul-2026</v>
      </c>
    </row>
    <row r="170" spans="2:10" outlineLevel="1" x14ac:dyDescent="0.3">
      <c r="B170" t="str">
        <f>"Go-live support will be provided and additional capabilities will be added per a subsequent Statement of Work expected to be started immediately following the completion of this Statement of Work."</f>
        <v>Go-live support will be provided and additional capabilities will be added per a subsequent Statement of Work expected to be started immediately following the completion of this Statement of Work.</v>
      </c>
    </row>
    <row r="171" spans="2:10" outlineLevel="1" x14ac:dyDescent="0.3">
      <c r="B171" t="str">
        <f>"This SOW assumes " &amp; ROUND(TotalDuration,0) &amp; " months to complete Financial Consolidation and Close."</f>
        <v>This SOW assumes 8 months to complete Financial Consolidation and Close.</v>
      </c>
    </row>
    <row r="172" spans="2:10" outlineLevel="1" x14ac:dyDescent="0.3">
      <c r="B172" t="s">
        <v>244</v>
      </c>
    </row>
    <row r="173" spans="2:10" outlineLevel="1" x14ac:dyDescent="0.3"/>
    <row r="174" spans="2:10" outlineLevel="1" x14ac:dyDescent="0.3"/>
    <row r="175" spans="2:10" outlineLevel="1" x14ac:dyDescent="0.3"/>
    <row r="176" spans="2:10" ht="27" outlineLevel="1" x14ac:dyDescent="0.3">
      <c r="B176" s="20" t="s">
        <v>262</v>
      </c>
      <c r="C176" cm="1">
        <f t="array" ref="C176:J176">_xlfn.SEQUENCE(1, ROUND(TotalDuration,0), 1, 1)</f>
        <v>1</v>
      </c>
      <c r="D176">
        <v>2</v>
      </c>
      <c r="E176">
        <v>3</v>
      </c>
      <c r="F176">
        <v>4</v>
      </c>
      <c r="G176">
        <v>5</v>
      </c>
      <c r="H176">
        <v>6</v>
      </c>
      <c r="I176">
        <v>7</v>
      </c>
      <c r="J176">
        <v>8</v>
      </c>
    </row>
    <row r="177" spans="2:10" outlineLevel="1" x14ac:dyDescent="0.3">
      <c r="B177" s="17" t="s">
        <v>297</v>
      </c>
      <c r="C177" cm="1">
        <f t="array" ref="C177:J177">ROUND(_xlfn.SEQUENCE(1, ROUND(TotalDuration,0), 'App Tiers Definition'!J24 / ROUND(TotalDuration,0), 0),0)</f>
        <v>118</v>
      </c>
      <c r="D177">
        <v>118</v>
      </c>
      <c r="E177">
        <v>118</v>
      </c>
      <c r="F177">
        <v>118</v>
      </c>
      <c r="G177">
        <v>118</v>
      </c>
      <c r="H177">
        <v>118</v>
      </c>
      <c r="I177">
        <v>118</v>
      </c>
      <c r="J177">
        <v>118</v>
      </c>
    </row>
    <row r="178" spans="2:10" outlineLevel="1" x14ac:dyDescent="0.3">
      <c r="B178" s="17" t="s">
        <v>293</v>
      </c>
      <c r="C178" cm="1">
        <f t="array" ref="C178:J178">ROUND(_xlfn.SEQUENCE(1, ROUND(TotalDuration,0), 'App Tiers Definition'!K24 / ROUND(TotalDuration,0), 0),0)</f>
        <v>118</v>
      </c>
      <c r="D178">
        <v>118</v>
      </c>
      <c r="E178">
        <v>118</v>
      </c>
      <c r="F178">
        <v>118</v>
      </c>
      <c r="G178">
        <v>118</v>
      </c>
      <c r="H178">
        <v>118</v>
      </c>
      <c r="I178">
        <v>118</v>
      </c>
      <c r="J178">
        <v>118</v>
      </c>
    </row>
    <row r="179" spans="2:10" outlineLevel="1" x14ac:dyDescent="0.3">
      <c r="B179" s="17" t="s">
        <v>299</v>
      </c>
      <c r="C179" cm="1">
        <f t="array" ref="C179:J179">ROUND(_xlfn.SEQUENCE(1, ROUND(TotalDuration,0), 'App Tiers Definition'!L24 / ROUND(TotalDuration,0), 0),0)</f>
        <v>58</v>
      </c>
      <c r="D179">
        <v>58</v>
      </c>
      <c r="E179">
        <v>58</v>
      </c>
      <c r="F179">
        <v>58</v>
      </c>
      <c r="G179">
        <v>58</v>
      </c>
      <c r="H179">
        <v>58</v>
      </c>
      <c r="I179">
        <v>58</v>
      </c>
      <c r="J179">
        <v>58</v>
      </c>
    </row>
    <row r="180" spans="2:10" outlineLevel="1" x14ac:dyDescent="0.3">
      <c r="B180" s="17" t="s">
        <v>309</v>
      </c>
      <c r="C180" cm="1">
        <f t="array" ref="C180:J180">ROUND(_xlfn.SEQUENCE(1, ROUND(TotalDuration,0), 'App Tiers Definition'!M24 / ROUND(TotalDuration,0), 0),0)</f>
        <v>118</v>
      </c>
      <c r="D180">
        <v>118</v>
      </c>
      <c r="E180">
        <v>118</v>
      </c>
      <c r="F180">
        <v>118</v>
      </c>
      <c r="G180">
        <v>118</v>
      </c>
      <c r="H180">
        <v>118</v>
      </c>
      <c r="I180">
        <v>118</v>
      </c>
      <c r="J180">
        <v>118</v>
      </c>
    </row>
    <row r="181" spans="2:10" outlineLevel="1" x14ac:dyDescent="0.3">
      <c r="B181" s="17" t="s">
        <v>308</v>
      </c>
      <c r="C181" cm="1">
        <f t="array" ref="C181:J181">ROUND(_xlfn.SEQUENCE(1, ROUND(TotalDuration,0), 'App Tiers Definition'!N24 / ROUND(TotalDuration,0), 0),0)</f>
        <v>118</v>
      </c>
      <c r="D181">
        <v>118</v>
      </c>
      <c r="E181">
        <v>118</v>
      </c>
      <c r="F181">
        <v>118</v>
      </c>
      <c r="G181">
        <v>118</v>
      </c>
      <c r="H181">
        <v>118</v>
      </c>
      <c r="I181">
        <v>118</v>
      </c>
      <c r="J181">
        <v>118</v>
      </c>
    </row>
    <row r="182" spans="2:10" outlineLevel="1" x14ac:dyDescent="0.3">
      <c r="B182" s="17" t="s">
        <v>300</v>
      </c>
      <c r="C182" cm="1">
        <f t="array" ref="C182:J182">ROUND(_xlfn.SEQUENCE(1, ROUND(TotalDuration,0), 'App Tiers Definition'!O24 / ROUND(TotalDuration,0), 0),0)</f>
        <v>234</v>
      </c>
      <c r="D182">
        <v>234</v>
      </c>
      <c r="E182">
        <v>234</v>
      </c>
      <c r="F182">
        <v>234</v>
      </c>
      <c r="G182">
        <v>234</v>
      </c>
      <c r="H182">
        <v>234</v>
      </c>
      <c r="I182">
        <v>234</v>
      </c>
      <c r="J182">
        <v>234</v>
      </c>
    </row>
    <row r="183" spans="2:10" outlineLevel="1" x14ac:dyDescent="0.3">
      <c r="B183" s="17" t="s">
        <v>301</v>
      </c>
      <c r="C183" cm="1">
        <f t="array" ref="C183:J183">ROUND(_xlfn.SEQUENCE(1, ROUND(TotalDuration,0), 'App Tiers Definition'!P24 / ROUND(TotalDuration,0), 0),0)</f>
        <v>234</v>
      </c>
      <c r="D183">
        <v>234</v>
      </c>
      <c r="E183">
        <v>234</v>
      </c>
      <c r="F183">
        <v>234</v>
      </c>
      <c r="G183">
        <v>234</v>
      </c>
      <c r="H183">
        <v>234</v>
      </c>
      <c r="I183">
        <v>234</v>
      </c>
      <c r="J183">
        <v>234</v>
      </c>
    </row>
    <row r="184" spans="2:10" outlineLevel="1" x14ac:dyDescent="0.3">
      <c r="B184" s="17" t="s">
        <v>310</v>
      </c>
      <c r="C184" cm="1">
        <f t="array" ref="C184:J184">ROUND(_xlfn.SEQUENCE(1, ROUND(TotalDuration,0), 'App Tiers Definition'!Q24 / ROUND(TotalDuration,0), 0),0)</f>
        <v>223</v>
      </c>
      <c r="D184">
        <v>223</v>
      </c>
      <c r="E184">
        <v>223</v>
      </c>
      <c r="F184">
        <v>223</v>
      </c>
      <c r="G184">
        <v>223</v>
      </c>
      <c r="H184">
        <v>223</v>
      </c>
      <c r="I184">
        <v>223</v>
      </c>
      <c r="J184">
        <v>223</v>
      </c>
    </row>
    <row r="185" spans="2:10" outlineLevel="1" x14ac:dyDescent="0.3">
      <c r="B185" s="17" t="s">
        <v>302</v>
      </c>
      <c r="C185" cm="1">
        <f t="array" ref="C185:J185">ROUND(_xlfn.SEQUENCE(1, ROUND(TotalDuration,0), 'App Tiers Definition'!R24 / ROUND(TotalDuration,0), 0),0)</f>
        <v>223</v>
      </c>
      <c r="D185">
        <v>223</v>
      </c>
      <c r="E185">
        <v>223</v>
      </c>
      <c r="F185">
        <v>223</v>
      </c>
      <c r="G185">
        <v>223</v>
      </c>
      <c r="H185">
        <v>223</v>
      </c>
      <c r="I185">
        <v>223</v>
      </c>
      <c r="J185">
        <v>223</v>
      </c>
    </row>
    <row r="186" spans="2:10" outlineLevel="1" x14ac:dyDescent="0.3">
      <c r="B186" s="17" t="s">
        <v>303</v>
      </c>
      <c r="C186" cm="1">
        <f t="array" ref="C186:J186">ROUND(_xlfn.SEQUENCE(1, ROUND(TotalDuration,0), 'App Tiers Definition'!S24 / ROUND(TotalDuration,0), 0),0)</f>
        <v>55</v>
      </c>
      <c r="D186">
        <v>55</v>
      </c>
      <c r="E186">
        <v>55</v>
      </c>
      <c r="F186">
        <v>55</v>
      </c>
      <c r="G186">
        <v>55</v>
      </c>
      <c r="H186">
        <v>55</v>
      </c>
      <c r="I186">
        <v>55</v>
      </c>
      <c r="J186">
        <v>55</v>
      </c>
    </row>
    <row r="187" spans="2:10" outlineLevel="1" x14ac:dyDescent="0.3">
      <c r="B187" s="17" t="s">
        <v>304</v>
      </c>
      <c r="C187" cm="1">
        <f t="array" ref="C187:J187">ROUND(_xlfn.SEQUENCE(1, ROUND(TotalDuration,0), 'App Tiers Definition'!T24 /ROUND(TotalDuration,0), 0),0)</f>
        <v>55</v>
      </c>
      <c r="D187">
        <v>55</v>
      </c>
      <c r="E187">
        <v>55</v>
      </c>
      <c r="F187">
        <v>55</v>
      </c>
      <c r="G187">
        <v>55</v>
      </c>
      <c r="H187">
        <v>55</v>
      </c>
      <c r="I187">
        <v>55</v>
      </c>
      <c r="J187">
        <v>55</v>
      </c>
    </row>
    <row r="188" spans="2:10" outlineLevel="1" x14ac:dyDescent="0.3">
      <c r="B188" s="17" t="s">
        <v>305</v>
      </c>
      <c r="C188" cm="1">
        <f t="array" ref="C188:J188">ROUND(_xlfn.SEQUENCE(1, ROUND(TotalDuration,0), 'App Tiers Definition'!U24 / ROUND(TotalDuration,0), 0),0)</f>
        <v>24</v>
      </c>
      <c r="D188">
        <v>24</v>
      </c>
      <c r="E188">
        <v>24</v>
      </c>
      <c r="F188">
        <v>24</v>
      </c>
      <c r="G188">
        <v>24</v>
      </c>
      <c r="H188">
        <v>24</v>
      </c>
      <c r="I188">
        <v>24</v>
      </c>
      <c r="J188">
        <v>24</v>
      </c>
    </row>
    <row r="189" spans="2:10" outlineLevel="1" x14ac:dyDescent="0.3">
      <c r="B189" s="17" t="s">
        <v>306</v>
      </c>
      <c r="C189" cm="1">
        <f t="array" ref="C189:J189">ROUND(_xlfn.SEQUENCE(1, ROUND(TotalDuration,0), 'App Tiers Definition'!V24 / ROUND(TotalDuration,0), 0),0)</f>
        <v>3</v>
      </c>
      <c r="D189">
        <v>3</v>
      </c>
      <c r="E189">
        <v>3</v>
      </c>
      <c r="F189">
        <v>3</v>
      </c>
      <c r="G189">
        <v>3</v>
      </c>
      <c r="H189">
        <v>3</v>
      </c>
      <c r="I189">
        <v>3</v>
      </c>
      <c r="J189">
        <v>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5C2A45308F30418733145DE4F9BE17" ma:contentTypeVersion="3" ma:contentTypeDescription="Create a new document." ma:contentTypeScope="" ma:versionID="17980c6fda1a973693bc55cfab4093ce">
  <xsd:schema xmlns:xsd="http://www.w3.org/2001/XMLSchema" xmlns:xs="http://www.w3.org/2001/XMLSchema" xmlns:p="http://schemas.microsoft.com/office/2006/metadata/properties" xmlns:ns2="34a304f7-6f0b-43d9-9d9f-f2b435867f21" targetNamespace="http://schemas.microsoft.com/office/2006/metadata/properties" ma:root="true" ma:fieldsID="ae031883a5ce2be9cb3b9022b9de7ac4" ns2:_="">
    <xsd:import namespace="34a304f7-6f0b-43d9-9d9f-f2b435867f2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a304f7-6f0b-43d9-9d9f-f2b435867f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34E6B2-6821-49DF-A449-66880F1BB818}">
  <ds:schemaRefs>
    <ds:schemaRef ds:uri="http://schemas.microsoft.com/sharepoint/v3/contenttype/forms"/>
  </ds:schemaRefs>
</ds:datastoreItem>
</file>

<file path=customXml/itemProps2.xml><?xml version="1.0" encoding="utf-8"?>
<ds:datastoreItem xmlns:ds="http://schemas.openxmlformats.org/officeDocument/2006/customXml" ds:itemID="{BA2199AE-FE18-49EA-BA59-D5CCF46A4DF6}">
  <ds:schemaRefs>
    <ds:schemaRef ds:uri="http://schemas.microsoft.com/office/2006/documentManagement/types"/>
    <ds:schemaRef ds:uri="http://www.w3.org/XML/1998/namespace"/>
    <ds:schemaRef ds:uri="http://schemas.microsoft.com/office/2006/metadata/properties"/>
    <ds:schemaRef ds:uri="34a304f7-6f0b-43d9-9d9f-f2b435867f21"/>
    <ds:schemaRef ds:uri="http://purl.org/dc/dcmitype/"/>
    <ds:schemaRef ds:uri="http://schemas.microsoft.com/office/infopath/2007/PartnerControls"/>
    <ds:schemaRef ds:uri="http://purl.org/dc/elements/1.1/"/>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510610E9-2415-4A59-8182-0698721408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a304f7-6f0b-43d9-9d9f-f2b435867f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31</vt:i4>
      </vt:variant>
    </vt:vector>
  </HeadingPairs>
  <TitlesOfParts>
    <vt:vector size="39" baseType="lpstr">
      <vt:lpstr>Scope Definition</vt:lpstr>
      <vt:lpstr>Scope of Service</vt:lpstr>
      <vt:lpstr>Timings</vt:lpstr>
      <vt:lpstr>KDD Items</vt:lpstr>
      <vt:lpstr>App Tiers Definition</vt:lpstr>
      <vt:lpstr>Effort Estimation</vt:lpstr>
      <vt:lpstr>Sheet1</vt:lpstr>
      <vt:lpstr>Definitions</vt:lpstr>
      <vt:lpstr>AppCustomization</vt:lpstr>
      <vt:lpstr>AppFeatures</vt:lpstr>
      <vt:lpstr>Automations</vt:lpstr>
      <vt:lpstr>Build_and_Configure</vt:lpstr>
      <vt:lpstr>Calculations</vt:lpstr>
      <vt:lpstr>Change_Management</vt:lpstr>
      <vt:lpstr>Design</vt:lpstr>
      <vt:lpstr>Documentations</vt:lpstr>
      <vt:lpstr>EngagementWeightage</vt:lpstr>
      <vt:lpstr>FeatureCleanRange</vt:lpstr>
      <vt:lpstr>FTEEfforts</vt:lpstr>
      <vt:lpstr>HistData</vt:lpstr>
      <vt:lpstr>InScopeFlagRange</vt:lpstr>
      <vt:lpstr>Integrations</vt:lpstr>
      <vt:lpstr>KDD_Items</vt:lpstr>
      <vt:lpstr>KDD_Items_All</vt:lpstr>
      <vt:lpstr>No_List</vt:lpstr>
      <vt:lpstr>Project_Initiation_and_Planning</vt:lpstr>
      <vt:lpstr>Reporting</vt:lpstr>
      <vt:lpstr>Requirement_Gathering</vt:lpstr>
      <vt:lpstr>RoleData</vt:lpstr>
      <vt:lpstr>RoleTable</vt:lpstr>
      <vt:lpstr>Scope_of_Services</vt:lpstr>
      <vt:lpstr>Security</vt:lpstr>
      <vt:lpstr>Testing_Training</vt:lpstr>
      <vt:lpstr>TierTable</vt:lpstr>
      <vt:lpstr>Timings</vt:lpstr>
      <vt:lpstr>TotalDuration</vt:lpstr>
      <vt:lpstr>Transition</vt:lpstr>
      <vt:lpstr>Weightage</vt:lpstr>
      <vt:lpstr>Yes_List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Raminder Sidhu</dc:creator>
  <cp:keywords/>
  <dc:description/>
  <cp:lastModifiedBy>Navashanmugam Asokan</cp:lastModifiedBy>
  <cp:revision/>
  <dcterms:created xsi:type="dcterms:W3CDTF">2025-05-14T13:13:30Z</dcterms:created>
  <dcterms:modified xsi:type="dcterms:W3CDTF">2025-11-18T07:36:43Z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0x0101006E5C2A45308F30418733145DE4F9BE17</vt:lpwstr>
  </property>
</Properties>
</file>